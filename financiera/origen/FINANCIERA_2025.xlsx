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nformacion\Descargas\"/>
    </mc:Choice>
  </mc:AlternateContent>
  <bookViews>
    <workbookView xWindow="0" yWindow="0" windowWidth="20490" windowHeight="7155" tabRatio="574" firstSheet="28" activeTab="34"/>
  </bookViews>
  <sheets>
    <sheet name="7-MARZO" sheetId="4" r:id="rId1"/>
    <sheet name="14-ABRIL" sheetId="7" r:id="rId2"/>
    <sheet name="10-MAYO" sheetId="8" r:id="rId3"/>
    <sheet name="26-MAYO" sheetId="9" r:id="rId4"/>
    <sheet name="12-JUNIO" sheetId="10" r:id="rId5"/>
    <sheet name="12-JULIO" sheetId="11" r:id="rId6"/>
    <sheet name="05-AGOSTO" sheetId="12" r:id="rId7"/>
    <sheet name="06-SEPTIEMBRE" sheetId="13" r:id="rId8"/>
    <sheet name="20- SEPTIEMBRE" sheetId="14" r:id="rId9"/>
    <sheet name="04-OCTUBRE" sheetId="15" r:id="rId10"/>
    <sheet name="09-NOVIEMBRE" sheetId="16" r:id="rId11"/>
    <sheet name="13-NOVIEMBRE" sheetId="17" r:id="rId12"/>
    <sheet name="16-DICIEMBRE" sheetId="18" r:id="rId13"/>
    <sheet name="07-ENERO" sheetId="19" r:id="rId14"/>
    <sheet name="09-ENERO" sheetId="20" r:id="rId15"/>
    <sheet name="25-ENERO" sheetId="21" r:id="rId16"/>
    <sheet name="26-ENERO" sheetId="22" r:id="rId17"/>
    <sheet name="07-FEBRERO" sheetId="23" r:id="rId18"/>
    <sheet name="19-FEBRERO" sheetId="24" r:id="rId19"/>
    <sheet name="17-MAYO" sheetId="25" r:id="rId20"/>
    <sheet name="18-MAYO" sheetId="26" r:id="rId21"/>
    <sheet name="19-MAYO" sheetId="27" r:id="rId22"/>
    <sheet name="25-MAYO" sheetId="28" r:id="rId23"/>
    <sheet name="27-MAYO" sheetId="29" r:id="rId24"/>
    <sheet name="28-MAYO" sheetId="30" r:id="rId25"/>
    <sheet name="29-MAYO" sheetId="31" r:id="rId26"/>
    <sheet name="08-JUNIO" sheetId="33" r:id="rId27"/>
    <sheet name="20-JUNIO" sheetId="34" r:id="rId28"/>
    <sheet name="24-JUNIO" sheetId="35" r:id="rId29"/>
    <sheet name="07-JULIO" sheetId="36" r:id="rId30"/>
    <sheet name="14-JULIO" sheetId="37" r:id="rId31"/>
    <sheet name="LETRAS" sheetId="5" r:id="rId32"/>
    <sheet name="NORMA" sheetId="32" r:id="rId33"/>
    <sheet name="SIMULADOR" sheetId="1" r:id="rId34"/>
    <sheet name="APORTES" sheetId="6" r:id="rId35"/>
    <sheet name="Data" sheetId="3" state="hidden" r:id="rId36"/>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6" l="1"/>
  <c r="L54" i="37"/>
  <c r="L46" i="37"/>
  <c r="H32" i="37"/>
  <c r="L31" i="37"/>
  <c r="L30" i="37"/>
  <c r="L29" i="37"/>
  <c r="L28" i="37"/>
  <c r="L27" i="37"/>
  <c r="L26" i="37"/>
  <c r="L25" i="37"/>
  <c r="L24" i="37"/>
  <c r="L23" i="37"/>
  <c r="L22" i="37"/>
  <c r="L21" i="37"/>
  <c r="L20" i="37"/>
  <c r="L19" i="37"/>
  <c r="L18" i="37"/>
  <c r="L17" i="37"/>
  <c r="L16" i="37"/>
  <c r="L15" i="37"/>
  <c r="L32" i="37" l="1"/>
  <c r="K56" i="37" s="1"/>
  <c r="C66" i="6"/>
  <c r="L54" i="36"/>
  <c r="L46" i="36"/>
  <c r="H32" i="36"/>
  <c r="L31" i="36"/>
  <c r="L30" i="36"/>
  <c r="L29" i="36"/>
  <c r="L28" i="36"/>
  <c r="L27" i="36"/>
  <c r="L26" i="36"/>
  <c r="L25" i="36"/>
  <c r="L24" i="36"/>
  <c r="L23" i="36"/>
  <c r="L22" i="36"/>
  <c r="L21" i="36"/>
  <c r="L20" i="36"/>
  <c r="L19" i="36"/>
  <c r="L18" i="36"/>
  <c r="L17" i="36"/>
  <c r="L16" i="36"/>
  <c r="L15" i="36"/>
  <c r="C64" i="6"/>
  <c r="L32" i="36" l="1"/>
  <c r="K56" i="36" s="1"/>
  <c r="L41" i="35"/>
  <c r="L40" i="35"/>
  <c r="L39" i="35"/>
  <c r="L38" i="35"/>
  <c r="L37" i="35"/>
  <c r="L36" i="35"/>
  <c r="L35" i="35"/>
  <c r="L34" i="35"/>
  <c r="L33" i="35"/>
  <c r="L32" i="35"/>
  <c r="L31" i="35"/>
  <c r="L30" i="35"/>
  <c r="L29" i="35"/>
  <c r="L28" i="35"/>
  <c r="L27" i="35"/>
  <c r="L26" i="35"/>
  <c r="L69" i="35" l="1"/>
  <c r="L61" i="35"/>
  <c r="H47" i="35"/>
  <c r="L46" i="35"/>
  <c r="L45" i="35"/>
  <c r="L44" i="35"/>
  <c r="L43" i="35"/>
  <c r="L42" i="35"/>
  <c r="L25" i="35"/>
  <c r="L24" i="35"/>
  <c r="L23" i="35"/>
  <c r="L22" i="35"/>
  <c r="L21" i="35"/>
  <c r="L20" i="35"/>
  <c r="L19" i="35"/>
  <c r="L18" i="35"/>
  <c r="L17" i="35"/>
  <c r="L16" i="35"/>
  <c r="L15" i="35"/>
  <c r="L47" i="35" l="1"/>
  <c r="K71" i="35" s="1"/>
  <c r="C62" i="6"/>
  <c r="H47" i="34"/>
  <c r="L46" i="34"/>
  <c r="L45" i="34"/>
  <c r="L44" i="34"/>
  <c r="L43" i="34"/>
  <c r="L47" i="34" l="1"/>
  <c r="L73" i="34" l="1"/>
  <c r="L65" i="34"/>
  <c r="L42" i="34"/>
  <c r="L41" i="34"/>
  <c r="L40" i="34"/>
  <c r="L39" i="34"/>
  <c r="L38" i="34"/>
  <c r="L37" i="34"/>
  <c r="L36" i="34"/>
  <c r="L35" i="34"/>
  <c r="L34" i="34"/>
  <c r="L33" i="34"/>
  <c r="L32" i="34"/>
  <c r="L31" i="34"/>
  <c r="L30" i="34"/>
  <c r="L29" i="34"/>
  <c r="L28" i="34"/>
  <c r="L27" i="34"/>
  <c r="L26" i="34"/>
  <c r="L25" i="34"/>
  <c r="L24" i="34"/>
  <c r="L23" i="34"/>
  <c r="L22" i="34"/>
  <c r="L21" i="34"/>
  <c r="L20" i="34"/>
  <c r="L19" i="34"/>
  <c r="L18" i="34"/>
  <c r="L17" i="34"/>
  <c r="L16" i="34"/>
  <c r="L15" i="34"/>
  <c r="K75" i="34" l="1"/>
  <c r="C60" i="6"/>
  <c r="L69" i="33"/>
  <c r="L61" i="33"/>
  <c r="H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43" i="33" l="1"/>
  <c r="K71" i="33" s="1"/>
  <c r="C58" i="6"/>
  <c r="L61" i="31"/>
  <c r="L69" i="31" l="1"/>
  <c r="H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C56" i="6"/>
  <c r="L47" i="30"/>
  <c r="L43" i="31" l="1"/>
  <c r="K71" i="31" s="1"/>
  <c r="L74" i="30"/>
  <c r="L66" i="30"/>
  <c r="H51" i="30"/>
  <c r="L50" i="30"/>
  <c r="L49" i="30"/>
  <c r="L48" i="30"/>
  <c r="L46" i="30"/>
  <c r="L45" i="30"/>
  <c r="L44" i="30"/>
  <c r="L43" i="30"/>
  <c r="L42" i="30"/>
  <c r="L41" i="30"/>
  <c r="L40" i="30"/>
  <c r="L39" i="30"/>
  <c r="L38" i="30"/>
  <c r="L37" i="30"/>
  <c r="L36" i="30"/>
  <c r="L35" i="30"/>
  <c r="L34" i="30"/>
  <c r="L33" i="30"/>
  <c r="L32" i="30"/>
  <c r="L31" i="30"/>
  <c r="L30" i="30"/>
  <c r="L29" i="30"/>
  <c r="L28" i="30"/>
  <c r="L27" i="30"/>
  <c r="L26" i="30"/>
  <c r="L25" i="30"/>
  <c r="L24" i="30"/>
  <c r="L23" i="30"/>
  <c r="L22" i="30"/>
  <c r="L21" i="30"/>
  <c r="L20" i="30"/>
  <c r="L19" i="30"/>
  <c r="L18" i="30"/>
  <c r="L17" i="30"/>
  <c r="L16" i="30"/>
  <c r="L15" i="30"/>
  <c r="C54" i="6"/>
  <c r="L48" i="29"/>
  <c r="L47" i="29"/>
  <c r="L46" i="29"/>
  <c r="L25" i="29"/>
  <c r="L51" i="30" l="1"/>
  <c r="K76" i="30" s="1"/>
  <c r="L73" i="29"/>
  <c r="L65" i="29"/>
  <c r="H50" i="29"/>
  <c r="L49" i="29"/>
  <c r="L45" i="29"/>
  <c r="L44" i="29"/>
  <c r="L43" i="29"/>
  <c r="L42" i="29"/>
  <c r="L41" i="29"/>
  <c r="L40" i="29"/>
  <c r="L39" i="29"/>
  <c r="L38" i="29"/>
  <c r="L37" i="29"/>
  <c r="L36" i="29"/>
  <c r="L35" i="29"/>
  <c r="L34" i="29"/>
  <c r="L33" i="29"/>
  <c r="L32" i="29"/>
  <c r="L31" i="29"/>
  <c r="L30" i="29"/>
  <c r="L29" i="29"/>
  <c r="L28" i="29"/>
  <c r="L27" i="29"/>
  <c r="L26" i="29"/>
  <c r="L24" i="29"/>
  <c r="L23" i="29"/>
  <c r="L22" i="29"/>
  <c r="L21" i="29"/>
  <c r="L20" i="29"/>
  <c r="L19" i="29"/>
  <c r="L18" i="29"/>
  <c r="L17" i="29"/>
  <c r="L16" i="29"/>
  <c r="L15" i="29"/>
  <c r="C52" i="6"/>
  <c r="L70" i="28"/>
  <c r="L62" i="28"/>
  <c r="H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50" i="29" l="1"/>
  <c r="K75" i="29" s="1"/>
  <c r="L47" i="28"/>
  <c r="K72" i="28" s="1"/>
  <c r="C50" i="6"/>
  <c r="L46" i="27"/>
  <c r="L45" i="27"/>
  <c r="L44" i="27"/>
  <c r="L70" i="27"/>
  <c r="L62" i="27"/>
  <c r="H47" i="27"/>
  <c r="L43" i="27"/>
  <c r="L42" i="27"/>
  <c r="L41" i="27"/>
  <c r="L40" i="27"/>
  <c r="L39" i="27"/>
  <c r="L38" i="27"/>
  <c r="L37" i="27"/>
  <c r="L36" i="27"/>
  <c r="L35" i="27"/>
  <c r="L34" i="27"/>
  <c r="L33" i="27"/>
  <c r="L32" i="27"/>
  <c r="L31" i="27"/>
  <c r="L30" i="27"/>
  <c r="L29" i="27"/>
  <c r="L28" i="27"/>
  <c r="L27" i="27"/>
  <c r="L26" i="27"/>
  <c r="L25" i="27"/>
  <c r="L24" i="27"/>
  <c r="L23" i="27"/>
  <c r="L22" i="27"/>
  <c r="L21" i="27"/>
  <c r="L20" i="27"/>
  <c r="L19" i="27"/>
  <c r="L18" i="27"/>
  <c r="L17" i="27"/>
  <c r="L16" i="27"/>
  <c r="L15" i="27"/>
  <c r="C48" i="6"/>
  <c r="L68" i="26"/>
  <c r="L60" i="26"/>
  <c r="H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C46" i="6"/>
  <c r="L69" i="25"/>
  <c r="H45" i="25"/>
  <c r="L44" i="25"/>
  <c r="L45" i="25" s="1"/>
  <c r="L41" i="25"/>
  <c r="L47" i="27" l="1"/>
  <c r="K72" i="27" s="1"/>
  <c r="L45" i="26"/>
  <c r="K70" i="26" s="1"/>
  <c r="L77" i="25"/>
  <c r="L43" i="25"/>
  <c r="L42" i="25"/>
  <c r="L40" i="25"/>
  <c r="L39" i="25"/>
  <c r="L38" i="25"/>
  <c r="L37" i="25"/>
  <c r="L36" i="25"/>
  <c r="L35" i="25"/>
  <c r="L34" i="25"/>
  <c r="L33" i="25"/>
  <c r="L32" i="25"/>
  <c r="L31" i="25"/>
  <c r="L30" i="25"/>
  <c r="L29" i="25"/>
  <c r="L28" i="25"/>
  <c r="L27" i="25"/>
  <c r="L26" i="25"/>
  <c r="L25" i="25"/>
  <c r="L24" i="25"/>
  <c r="L23" i="25"/>
  <c r="L22" i="25"/>
  <c r="L21" i="25"/>
  <c r="L20" i="25"/>
  <c r="L19" i="25"/>
  <c r="L18" i="25"/>
  <c r="L17" i="25"/>
  <c r="L16" i="25"/>
  <c r="L15" i="25"/>
  <c r="K79" i="25" l="1"/>
  <c r="C44" i="6"/>
  <c r="H43" i="24"/>
  <c r="L42" i="24"/>
  <c r="L43" i="24" s="1"/>
  <c r="L41" i="24"/>
  <c r="L40" i="24"/>
  <c r="L37" i="24"/>
  <c r="L66" i="24" l="1"/>
  <c r="L58" i="24"/>
  <c r="L39" i="24"/>
  <c r="L38" i="24"/>
  <c r="L36" i="24"/>
  <c r="L35" i="24"/>
  <c r="L34" i="24"/>
  <c r="L33" i="24"/>
  <c r="L32" i="24"/>
  <c r="L31" i="24"/>
  <c r="L30" i="24"/>
  <c r="L29" i="24"/>
  <c r="L28" i="24"/>
  <c r="L27" i="24"/>
  <c r="L26" i="24"/>
  <c r="L25" i="24"/>
  <c r="L24" i="24"/>
  <c r="L23" i="24"/>
  <c r="L22" i="24"/>
  <c r="L21" i="24"/>
  <c r="L20" i="24"/>
  <c r="L19" i="24"/>
  <c r="L18" i="24"/>
  <c r="L17" i="24"/>
  <c r="L16" i="24"/>
  <c r="L15" i="24"/>
  <c r="K68" i="24" l="1"/>
  <c r="C42" i="6"/>
  <c r="L62" i="23" l="1"/>
  <c r="L54" i="23"/>
  <c r="H39" i="23"/>
  <c r="L38" i="23"/>
  <c r="L37" i="23"/>
  <c r="L36" i="23"/>
  <c r="L35" i="23"/>
  <c r="L34" i="23"/>
  <c r="L33" i="23"/>
  <c r="L32" i="23"/>
  <c r="L31" i="23"/>
  <c r="L30" i="23"/>
  <c r="L29" i="23"/>
  <c r="L28" i="23"/>
  <c r="L27" i="23"/>
  <c r="L26" i="23"/>
  <c r="L25" i="23"/>
  <c r="L24" i="23"/>
  <c r="L23" i="23"/>
  <c r="L22" i="23"/>
  <c r="L21" i="23"/>
  <c r="L20" i="23"/>
  <c r="L19" i="23"/>
  <c r="L18" i="23"/>
  <c r="L17" i="23"/>
  <c r="L16" i="23"/>
  <c r="L15" i="23"/>
  <c r="L39" i="23" l="1"/>
  <c r="K64" i="23" s="1"/>
  <c r="C40" i="6"/>
  <c r="C38" i="6"/>
  <c r="H40" i="21"/>
  <c r="L39" i="21"/>
  <c r="L40" i="21" s="1"/>
  <c r="L62" i="22"/>
  <c r="L54" i="22"/>
  <c r="H39" i="22"/>
  <c r="L38" i="22"/>
  <c r="L37" i="22"/>
  <c r="L36" i="22"/>
  <c r="L35" i="22"/>
  <c r="L34" i="22"/>
  <c r="L33" i="22"/>
  <c r="L32" i="22"/>
  <c r="L31" i="22"/>
  <c r="L30" i="22"/>
  <c r="L29" i="22"/>
  <c r="L28" i="22"/>
  <c r="L27" i="22"/>
  <c r="L26" i="22"/>
  <c r="L25" i="22"/>
  <c r="L24" i="22"/>
  <c r="L23" i="22"/>
  <c r="L22" i="22"/>
  <c r="L21" i="22"/>
  <c r="L20" i="22"/>
  <c r="L19" i="22"/>
  <c r="L18" i="22"/>
  <c r="L17" i="22"/>
  <c r="L16" i="22"/>
  <c r="L15" i="22"/>
  <c r="L39" i="22" l="1"/>
  <c r="K64" i="22" s="1"/>
  <c r="L63" i="21" l="1"/>
  <c r="L55" i="21"/>
  <c r="L38" i="21"/>
  <c r="L37" i="21"/>
  <c r="L36" i="21"/>
  <c r="L35" i="21"/>
  <c r="L34" i="21"/>
  <c r="L33" i="21"/>
  <c r="L32" i="21"/>
  <c r="L31" i="21"/>
  <c r="L30" i="21"/>
  <c r="L29" i="21"/>
  <c r="L28" i="21"/>
  <c r="L27" i="21"/>
  <c r="L26" i="21"/>
  <c r="L25" i="21"/>
  <c r="L24" i="21"/>
  <c r="L23" i="21"/>
  <c r="L22" i="21"/>
  <c r="L21" i="21"/>
  <c r="L20" i="21"/>
  <c r="L19" i="21"/>
  <c r="L18" i="21"/>
  <c r="L17" i="21"/>
  <c r="L16" i="21"/>
  <c r="L15" i="21"/>
  <c r="C36" i="6"/>
  <c r="K65" i="21" l="1"/>
  <c r="L62" i="20"/>
  <c r="L54" i="20"/>
  <c r="H39" i="20"/>
  <c r="L38" i="20"/>
  <c r="L37" i="20"/>
  <c r="L36" i="20"/>
  <c r="L35" i="20"/>
  <c r="L34" i="20"/>
  <c r="L33" i="20"/>
  <c r="L32" i="20"/>
  <c r="L31" i="20"/>
  <c r="L30" i="20"/>
  <c r="L29" i="20"/>
  <c r="L28" i="20"/>
  <c r="L27" i="20"/>
  <c r="L26" i="20"/>
  <c r="L25" i="20"/>
  <c r="L24" i="20"/>
  <c r="L23" i="20"/>
  <c r="L22" i="20"/>
  <c r="L21" i="20"/>
  <c r="L20" i="20"/>
  <c r="L19" i="20"/>
  <c r="L18" i="20"/>
  <c r="L17" i="20"/>
  <c r="L16" i="20"/>
  <c r="L15" i="20"/>
  <c r="L39" i="20" l="1"/>
  <c r="K64" i="20" s="1"/>
  <c r="C34" i="6"/>
  <c r="L62" i="19"/>
  <c r="L54" i="19"/>
  <c r="H39" i="19"/>
  <c r="L38" i="19"/>
  <c r="L37" i="19"/>
  <c r="L36" i="19"/>
  <c r="L35" i="19"/>
  <c r="L34" i="19"/>
  <c r="L33" i="19"/>
  <c r="L32" i="19"/>
  <c r="L31" i="19"/>
  <c r="L30" i="19"/>
  <c r="L29" i="19"/>
  <c r="L28" i="19"/>
  <c r="L27" i="19"/>
  <c r="L26" i="19"/>
  <c r="L25" i="19"/>
  <c r="L24" i="19"/>
  <c r="L23" i="19"/>
  <c r="L22" i="19"/>
  <c r="L21" i="19"/>
  <c r="L20" i="19"/>
  <c r="L19" i="19"/>
  <c r="L18" i="19"/>
  <c r="L17" i="19"/>
  <c r="L16" i="19"/>
  <c r="L15" i="19"/>
  <c r="L39" i="19" l="1"/>
  <c r="K64" i="19" s="1"/>
  <c r="C32" i="6"/>
  <c r="H58" i="18"/>
  <c r="L57" i="18"/>
  <c r="L58" i="18"/>
  <c r="L56" i="18" l="1"/>
  <c r="L55" i="18"/>
  <c r="L54" i="18"/>
  <c r="L53" i="18"/>
  <c r="L52" i="18"/>
  <c r="L51" i="18"/>
  <c r="L50" i="18"/>
  <c r="L49" i="18"/>
  <c r="L48" i="18"/>
  <c r="L47" i="18"/>
  <c r="L85" i="18" l="1"/>
  <c r="L46" i="18" l="1"/>
  <c r="L45" i="18"/>
  <c r="L44" i="18"/>
  <c r="L43" i="18"/>
  <c r="L42" i="18"/>
  <c r="L41" i="18"/>
  <c r="L93" i="18" l="1"/>
  <c r="L40" i="18"/>
  <c r="L39" i="18"/>
  <c r="L38" i="18"/>
  <c r="L37" i="18"/>
  <c r="L36" i="18"/>
  <c r="L35" i="18"/>
  <c r="L34" i="18"/>
  <c r="L33" i="18"/>
  <c r="L32" i="18"/>
  <c r="L31" i="18"/>
  <c r="L30" i="18"/>
  <c r="L29" i="18"/>
  <c r="L28" i="18"/>
  <c r="L27" i="18"/>
  <c r="L26" i="18"/>
  <c r="L25" i="18"/>
  <c r="L24" i="18"/>
  <c r="L23" i="18"/>
  <c r="L22" i="18"/>
  <c r="L21" i="18"/>
  <c r="L20" i="18"/>
  <c r="L19" i="18"/>
  <c r="L18" i="18"/>
  <c r="L17" i="18"/>
  <c r="L16" i="18"/>
  <c r="L15" i="18"/>
  <c r="K95" i="18" l="1"/>
  <c r="C30" i="6" l="1"/>
  <c r="L65" i="17" l="1"/>
  <c r="L57" i="17"/>
  <c r="H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41" i="17" l="1"/>
  <c r="K67" i="17" s="1"/>
  <c r="C28" i="6"/>
  <c r="H59" i="16"/>
  <c r="L58" i="16"/>
  <c r="L59" i="16"/>
  <c r="L56" i="16" l="1"/>
  <c r="L55" i="16"/>
  <c r="L53" i="16"/>
  <c r="L52" i="16"/>
  <c r="L51" i="16"/>
  <c r="L50" i="16"/>
  <c r="L49" i="16"/>
  <c r="L48" i="16"/>
  <c r="L47" i="16"/>
  <c r="L46" i="16"/>
  <c r="L45" i="16"/>
  <c r="L44" i="16"/>
  <c r="L43" i="16"/>
  <c r="L42" i="16"/>
  <c r="L83" i="16"/>
  <c r="L75" i="16"/>
  <c r="L57" i="16"/>
  <c r="L54"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C26" i="6"/>
  <c r="K85" i="16" l="1"/>
  <c r="L68" i="15" l="1"/>
  <c r="L60" i="15"/>
  <c r="H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44" i="15" l="1"/>
  <c r="K70" i="15" s="1"/>
  <c r="C23" i="6"/>
  <c r="L68" i="14" l="1"/>
  <c r="L60" i="14"/>
  <c r="H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C20" i="6"/>
  <c r="L44" i="14" l="1"/>
  <c r="K70" i="14" s="1"/>
  <c r="L36" i="13" l="1"/>
  <c r="L37" i="13"/>
  <c r="L38" i="13"/>
  <c r="L39" i="13"/>
  <c r="L40" i="13"/>
  <c r="L41" i="13"/>
  <c r="L68" i="13" l="1"/>
  <c r="L60" i="13"/>
  <c r="H44" i="13"/>
  <c r="L43" i="13"/>
  <c r="L42" i="13"/>
  <c r="L35" i="13"/>
  <c r="L34" i="13"/>
  <c r="L33" i="13"/>
  <c r="L32" i="13"/>
  <c r="L31" i="13"/>
  <c r="L30" i="13"/>
  <c r="L29" i="13"/>
  <c r="L28" i="13"/>
  <c r="L27" i="13"/>
  <c r="L26" i="13"/>
  <c r="L25" i="13"/>
  <c r="L24" i="13"/>
  <c r="L23" i="13"/>
  <c r="L22" i="13"/>
  <c r="L21" i="13"/>
  <c r="L20" i="13"/>
  <c r="L19" i="13"/>
  <c r="L18" i="13"/>
  <c r="L17" i="13"/>
  <c r="L16" i="13"/>
  <c r="L15" i="13"/>
  <c r="L44" i="13" l="1"/>
  <c r="K70" i="13" s="1"/>
  <c r="L36" i="12"/>
  <c r="L35" i="12"/>
  <c r="L34" i="12"/>
  <c r="L33" i="12"/>
  <c r="L32" i="12"/>
  <c r="L31" i="12"/>
  <c r="L30" i="12"/>
  <c r="C18" i="6" l="1"/>
  <c r="L59" i="12" l="1"/>
  <c r="L51" i="12"/>
  <c r="H38" i="12"/>
  <c r="L37" i="12"/>
  <c r="L29" i="12"/>
  <c r="L28" i="12"/>
  <c r="L27" i="12"/>
  <c r="L26" i="12"/>
  <c r="L25" i="12"/>
  <c r="L24" i="12"/>
  <c r="L23" i="12"/>
  <c r="L22" i="12"/>
  <c r="L21" i="12"/>
  <c r="L20" i="12"/>
  <c r="L19" i="12"/>
  <c r="L18" i="12"/>
  <c r="L17" i="12"/>
  <c r="L16" i="12"/>
  <c r="L15" i="12"/>
  <c r="L38" i="12" l="1"/>
  <c r="K61" i="12" s="1"/>
  <c r="C15" i="6"/>
  <c r="H46" i="11"/>
  <c r="L45" i="11"/>
  <c r="L46" i="11" s="1"/>
  <c r="L44" i="11" l="1"/>
  <c r="L43" i="11"/>
  <c r="L34" i="11" l="1"/>
  <c r="L35" i="11"/>
  <c r="L36" i="11"/>
  <c r="L37" i="11"/>
  <c r="L38" i="11"/>
  <c r="L39" i="11"/>
  <c r="L40" i="11"/>
  <c r="L41" i="11"/>
  <c r="L33" i="11" l="1"/>
  <c r="L32" i="11" l="1"/>
  <c r="L71" i="11" l="1"/>
  <c r="L63" i="11"/>
  <c r="L42" i="11"/>
  <c r="L31" i="11"/>
  <c r="L30" i="11"/>
  <c r="L29" i="11"/>
  <c r="L28" i="11"/>
  <c r="L27" i="11"/>
  <c r="L26" i="11"/>
  <c r="L25" i="11"/>
  <c r="L24" i="11"/>
  <c r="L23" i="11"/>
  <c r="L22" i="11"/>
  <c r="L21" i="11"/>
  <c r="L20" i="11"/>
  <c r="L19" i="11"/>
  <c r="L18" i="11"/>
  <c r="L17" i="11"/>
  <c r="L16" i="11"/>
  <c r="L15" i="11"/>
  <c r="C12" i="6"/>
  <c r="H33" i="10"/>
  <c r="L32" i="10"/>
  <c r="L33" i="10" s="1"/>
  <c r="K73" i="11" l="1"/>
  <c r="L31" i="10" l="1"/>
  <c r="L58" i="10"/>
  <c r="L66" i="10" l="1"/>
  <c r="L30" i="10"/>
  <c r="L29" i="10"/>
  <c r="L28" i="10"/>
  <c r="L27" i="10"/>
  <c r="L26" i="10"/>
  <c r="L25" i="10"/>
  <c r="L24" i="10"/>
  <c r="L23" i="10"/>
  <c r="L22" i="10"/>
  <c r="L21" i="10"/>
  <c r="L20" i="10"/>
  <c r="L19" i="10"/>
  <c r="L18" i="10"/>
  <c r="L17" i="10"/>
  <c r="L16" i="10"/>
  <c r="L15" i="10"/>
  <c r="K68" i="10" l="1"/>
  <c r="C9" i="6"/>
  <c r="L54" i="9" l="1"/>
  <c r="L46" i="9"/>
  <c r="H31" i="9"/>
  <c r="L30" i="9"/>
  <c r="L29" i="9"/>
  <c r="L28" i="9"/>
  <c r="L27" i="9"/>
  <c r="L26" i="9"/>
  <c r="L25" i="9"/>
  <c r="L24" i="9"/>
  <c r="L23" i="9"/>
  <c r="L22" i="9"/>
  <c r="L21" i="9"/>
  <c r="L20" i="9"/>
  <c r="L19" i="9"/>
  <c r="L18" i="9"/>
  <c r="L17" i="9"/>
  <c r="L16" i="9"/>
  <c r="L15" i="9"/>
  <c r="L31" i="9" l="1"/>
  <c r="K56" i="9" s="1"/>
  <c r="C6" i="6"/>
  <c r="L54" i="8" l="1"/>
  <c r="L46" i="8"/>
  <c r="H31" i="8"/>
  <c r="L30" i="8"/>
  <c r="L29" i="8"/>
  <c r="L28" i="8"/>
  <c r="L27" i="8"/>
  <c r="L26" i="8"/>
  <c r="L25" i="8"/>
  <c r="L24" i="8"/>
  <c r="L23" i="8"/>
  <c r="L22" i="8"/>
  <c r="L21" i="8"/>
  <c r="L20" i="8"/>
  <c r="L19" i="8"/>
  <c r="L18" i="8"/>
  <c r="L17" i="8"/>
  <c r="L16" i="8"/>
  <c r="L15" i="8"/>
  <c r="L31" i="8" l="1"/>
  <c r="K56" i="8" s="1"/>
  <c r="L20" i="7"/>
  <c r="L48" i="7"/>
  <c r="C4" i="6" l="1"/>
  <c r="L56" i="7" l="1"/>
  <c r="H31" i="7"/>
  <c r="L30" i="7"/>
  <c r="L29" i="7"/>
  <c r="L28" i="7"/>
  <c r="L27" i="7"/>
  <c r="L26" i="7"/>
  <c r="L25" i="7"/>
  <c r="L24" i="7"/>
  <c r="L23" i="7"/>
  <c r="L22" i="7"/>
  <c r="L21" i="7"/>
  <c r="L19" i="7"/>
  <c r="L18" i="7"/>
  <c r="L17" i="7"/>
  <c r="L16" i="7"/>
  <c r="L15" i="7"/>
  <c r="L31" i="7" l="1"/>
  <c r="K58" i="7" s="1"/>
  <c r="C2" i="6" l="1"/>
  <c r="L15" i="4"/>
  <c r="L54" i="4" l="1"/>
  <c r="L46" i="4"/>
  <c r="H31" i="4"/>
  <c r="L30" i="4"/>
  <c r="L29" i="4"/>
  <c r="L28" i="4"/>
  <c r="L27" i="4"/>
  <c r="L26" i="4"/>
  <c r="L25" i="4"/>
  <c r="L24" i="4"/>
  <c r="L23" i="4"/>
  <c r="L22" i="4"/>
  <c r="L21" i="4"/>
  <c r="L20" i="4"/>
  <c r="L19" i="4"/>
  <c r="L18" i="4"/>
  <c r="L17" i="4"/>
  <c r="L16" i="4"/>
  <c r="L31" i="4" l="1"/>
  <c r="K56" i="4" s="1"/>
  <c r="I18" i="1"/>
</calcChain>
</file>

<file path=xl/comments1.xml><?xml version="1.0" encoding="utf-8"?>
<comments xmlns="http://schemas.openxmlformats.org/spreadsheetml/2006/main">
  <authors>
    <author>GranPc</author>
  </authors>
  <commentList>
    <comment ref="F10" authorId="0" shapeId="0">
      <text>
        <r>
          <rPr>
            <b/>
            <sz val="9"/>
            <color indexed="81"/>
            <rFont val="Tahoma"/>
            <family val="2"/>
          </rPr>
          <t>GranPc:</t>
        </r>
        <r>
          <rPr>
            <sz val="9"/>
            <color indexed="81"/>
            <rFont val="Tahoma"/>
            <family val="2"/>
          </rPr>
          <t xml:space="preserve">
DSCTO 34,834 X RECOGER CAPITAL</t>
        </r>
      </text>
    </comment>
    <comment ref="F18" authorId="0" shapeId="0">
      <text>
        <r>
          <rPr>
            <b/>
            <sz val="9"/>
            <color indexed="81"/>
            <rFont val="Tahoma"/>
            <family val="2"/>
          </rPr>
          <t>GranPc:</t>
        </r>
        <r>
          <rPr>
            <sz val="9"/>
            <color indexed="81"/>
            <rFont val="Tahoma"/>
            <family val="2"/>
          </rPr>
          <t xml:space="preserve">
SE LE COBRARON 6,277 POR 11 DIAS DE MORA</t>
        </r>
      </text>
    </comment>
    <comment ref="F24" authorId="0" shapeId="0">
      <text>
        <r>
          <rPr>
            <b/>
            <sz val="9"/>
            <color indexed="81"/>
            <rFont val="Tahoma"/>
            <family val="2"/>
          </rPr>
          <t>GranPc:</t>
        </r>
        <r>
          <rPr>
            <sz val="9"/>
            <color indexed="81"/>
            <rFont val="Tahoma"/>
            <family val="2"/>
          </rPr>
          <t xml:space="preserve">
DCTO 132,350 POR RECOGER CAPITAL</t>
        </r>
      </text>
    </comment>
    <comment ref="F27" authorId="0" shapeId="0">
      <text>
        <r>
          <rPr>
            <b/>
            <sz val="9"/>
            <color indexed="81"/>
            <rFont val="Tahoma"/>
            <family val="2"/>
          </rPr>
          <t>GranPc:</t>
        </r>
        <r>
          <rPr>
            <sz val="9"/>
            <color indexed="81"/>
            <rFont val="Tahoma"/>
            <family val="2"/>
          </rPr>
          <t xml:space="preserve">
SE LE COBRARON 8,819 POR 14 DIAS DE MORA</t>
        </r>
      </text>
    </comment>
    <comment ref="F45" authorId="0" shapeId="0">
      <text>
        <r>
          <rPr>
            <b/>
            <sz val="9"/>
            <color indexed="81"/>
            <rFont val="Tahoma"/>
            <family val="2"/>
          </rPr>
          <t>GranPc:</t>
        </r>
        <r>
          <rPr>
            <sz val="9"/>
            <color indexed="81"/>
            <rFont val="Tahoma"/>
            <family val="2"/>
          </rPr>
          <t xml:space="preserve">
DCTO 132,350 POR RECOGER CAPITAL</t>
        </r>
      </text>
    </comment>
    <comment ref="F49" authorId="0" shapeId="0">
      <text>
        <r>
          <rPr>
            <b/>
            <sz val="9"/>
            <color indexed="81"/>
            <rFont val="Tahoma"/>
            <family val="2"/>
          </rPr>
          <t>GranPc:</t>
        </r>
        <r>
          <rPr>
            <sz val="9"/>
            <color indexed="81"/>
            <rFont val="Tahoma"/>
            <family val="2"/>
          </rPr>
          <t xml:space="preserve">
SE LE COBRARON 9,449 POR 15 DIAS DE MORA</t>
        </r>
      </text>
    </comment>
    <comment ref="G60" authorId="0" shapeId="0">
      <text>
        <r>
          <rPr>
            <b/>
            <sz val="9"/>
            <color indexed="81"/>
            <rFont val="Tahoma"/>
            <family val="2"/>
          </rPr>
          <t>GranPc:</t>
        </r>
        <r>
          <rPr>
            <sz val="9"/>
            <color indexed="81"/>
            <rFont val="Tahoma"/>
            <family val="2"/>
          </rPr>
          <t xml:space="preserve">
ABONO 750,000 03 JULIO</t>
        </r>
      </text>
    </comment>
    <comment ref="F67" authorId="0" shapeId="0">
      <text>
        <r>
          <rPr>
            <b/>
            <sz val="9"/>
            <color indexed="81"/>
            <rFont val="Tahoma"/>
            <family val="2"/>
          </rPr>
          <t>GranPc:</t>
        </r>
        <r>
          <rPr>
            <sz val="9"/>
            <color indexed="81"/>
            <rFont val="Tahoma"/>
            <family val="2"/>
          </rPr>
          <t xml:space="preserve">
SE LE COBRARON 9,626 POR 18 DIAS DE MORA</t>
        </r>
      </text>
    </comment>
    <comment ref="F75" authorId="0" shapeId="0">
      <text>
        <r>
          <rPr>
            <b/>
            <sz val="9"/>
            <color indexed="81"/>
            <rFont val="Tahoma"/>
            <family val="2"/>
          </rPr>
          <t>GranPc:</t>
        </r>
        <r>
          <rPr>
            <sz val="9"/>
            <color indexed="81"/>
            <rFont val="Tahoma"/>
            <family val="2"/>
          </rPr>
          <t xml:space="preserve">
DCTO 132,350 POR RECOGER CAPITAL</t>
        </r>
      </text>
    </comment>
    <comment ref="F78" authorId="0" shapeId="0">
      <text>
        <r>
          <rPr>
            <b/>
            <sz val="9"/>
            <color indexed="81"/>
            <rFont val="Tahoma"/>
            <family val="2"/>
          </rPr>
          <t>GranPc:</t>
        </r>
        <r>
          <rPr>
            <sz val="9"/>
            <color indexed="81"/>
            <rFont val="Tahoma"/>
            <family val="2"/>
          </rPr>
          <t xml:space="preserve">
SE LE COBRARON 3,453 POR 11 DIAS DE MORA</t>
        </r>
      </text>
    </comment>
    <comment ref="F80" authorId="0" shapeId="0">
      <text>
        <r>
          <rPr>
            <b/>
            <sz val="9"/>
            <color indexed="81"/>
            <rFont val="Tahoma"/>
            <family val="2"/>
          </rPr>
          <t>GranPc:</t>
        </r>
        <r>
          <rPr>
            <sz val="9"/>
            <color indexed="81"/>
            <rFont val="Tahoma"/>
            <family val="2"/>
          </rPr>
          <t xml:space="preserve">
SE LE COBRARON 8,189 POR 13 DIAS DE MORA</t>
        </r>
      </text>
    </comment>
    <comment ref="F88" authorId="0" shapeId="0">
      <text>
        <r>
          <rPr>
            <b/>
            <sz val="9"/>
            <color indexed="81"/>
            <rFont val="Tahoma"/>
            <family val="2"/>
          </rPr>
          <t>GranPc:</t>
        </r>
        <r>
          <rPr>
            <sz val="9"/>
            <color indexed="81"/>
            <rFont val="Tahoma"/>
            <family val="2"/>
          </rPr>
          <t xml:space="preserve">
SE LE COBRARON 12,205 POR 21 DIAS DE MORA</t>
        </r>
      </text>
    </comment>
    <comment ref="F92" authorId="0" shapeId="0">
      <text>
        <r>
          <rPr>
            <b/>
            <sz val="9"/>
            <color indexed="81"/>
            <rFont val="Tahoma"/>
            <family val="2"/>
          </rPr>
          <t>GranPc:</t>
        </r>
        <r>
          <rPr>
            <sz val="9"/>
            <color indexed="81"/>
            <rFont val="Tahoma"/>
            <family val="2"/>
          </rPr>
          <t xml:space="preserve">
SE LE COBRARON 6,277 POR 11 DIAS DE MORA</t>
        </r>
      </text>
    </comment>
    <comment ref="F99" authorId="0" shapeId="0">
      <text>
        <r>
          <rPr>
            <b/>
            <sz val="9"/>
            <color indexed="81"/>
            <rFont val="Tahoma"/>
            <family val="2"/>
          </rPr>
          <t>GranPc:</t>
        </r>
        <r>
          <rPr>
            <sz val="9"/>
            <color indexed="81"/>
            <rFont val="Tahoma"/>
            <family val="2"/>
          </rPr>
          <t xml:space="preserve">
SE LE COBRARON 4,596 POR 14 DIAS DE MORA</t>
        </r>
      </text>
    </comment>
    <comment ref="F103" authorId="0" shapeId="0">
      <text>
        <r>
          <rPr>
            <b/>
            <sz val="9"/>
            <color indexed="81"/>
            <rFont val="Tahoma"/>
            <family val="2"/>
          </rPr>
          <t>GranPc:</t>
        </r>
        <r>
          <rPr>
            <sz val="9"/>
            <color indexed="81"/>
            <rFont val="Tahoma"/>
            <family val="2"/>
          </rPr>
          <t xml:space="preserve">
SE LE COBRARON 4,813 POR 9 DIAS DE MORA</t>
        </r>
      </text>
    </comment>
    <comment ref="F108" authorId="0" shapeId="0">
      <text>
        <r>
          <rPr>
            <b/>
            <sz val="9"/>
            <color indexed="81"/>
            <rFont val="Tahoma"/>
            <family val="2"/>
          </rPr>
          <t>GranPc:</t>
        </r>
        <r>
          <rPr>
            <sz val="9"/>
            <color indexed="81"/>
            <rFont val="Tahoma"/>
            <family val="2"/>
          </rPr>
          <t xml:space="preserve">
SE LE COBRARON 17,291 POR 36 DIAS DE MORA</t>
        </r>
      </text>
    </comment>
    <comment ref="F111" authorId="0" shapeId="0">
      <text>
        <r>
          <rPr>
            <b/>
            <sz val="9"/>
            <color indexed="81"/>
            <rFont val="Tahoma"/>
            <family val="2"/>
          </rPr>
          <t>GranPc:</t>
        </r>
        <r>
          <rPr>
            <sz val="9"/>
            <color indexed="81"/>
            <rFont val="Tahoma"/>
            <family val="2"/>
          </rPr>
          <t xml:space="preserve">
DCTO 132,350 POR RECOGER CAPITAL</t>
        </r>
      </text>
    </comment>
    <comment ref="F116" authorId="0" shapeId="0">
      <text>
        <r>
          <rPr>
            <b/>
            <sz val="9"/>
            <color indexed="81"/>
            <rFont val="Tahoma"/>
            <family val="2"/>
          </rPr>
          <t>GranPc:</t>
        </r>
        <r>
          <rPr>
            <sz val="9"/>
            <color indexed="81"/>
            <rFont val="Tahoma"/>
            <family val="2"/>
          </rPr>
          <t xml:space="preserve">
SE LE COBRARON 9,449 POR 15 DIAS DE MORA</t>
        </r>
      </text>
    </comment>
    <comment ref="F141" authorId="0" shapeId="0">
      <text>
        <r>
          <rPr>
            <b/>
            <sz val="9"/>
            <color indexed="81"/>
            <rFont val="Tahoma"/>
            <family val="2"/>
          </rPr>
          <t>GranPc:</t>
        </r>
        <r>
          <rPr>
            <sz val="9"/>
            <color indexed="81"/>
            <rFont val="Tahoma"/>
            <family val="2"/>
          </rPr>
          <t xml:space="preserve">
SE LE COBRARON 4,596 POR 14 DIAS DE MORA</t>
        </r>
      </text>
    </comment>
    <comment ref="F147" authorId="0" shapeId="0">
      <text>
        <r>
          <rPr>
            <b/>
            <sz val="9"/>
            <color indexed="81"/>
            <rFont val="Tahoma"/>
            <family val="2"/>
          </rPr>
          <t>GranPc:</t>
        </r>
        <r>
          <rPr>
            <sz val="9"/>
            <color indexed="81"/>
            <rFont val="Tahoma"/>
            <family val="2"/>
          </rPr>
          <t xml:space="preserve">
SE LE COBRARON 21,927 POR 41 DIAS DE MORA</t>
        </r>
      </text>
    </comment>
    <comment ref="F150" authorId="0" shapeId="0">
      <text>
        <r>
          <rPr>
            <b/>
            <sz val="9"/>
            <color indexed="81"/>
            <rFont val="Tahoma"/>
            <family val="2"/>
          </rPr>
          <t>GranPc:</t>
        </r>
        <r>
          <rPr>
            <sz val="9"/>
            <color indexed="81"/>
            <rFont val="Tahoma"/>
            <family val="2"/>
          </rPr>
          <t xml:space="preserve">
SE LE COBRARON 27,048 POR 30 DIAS DE MORA</t>
        </r>
      </text>
    </comment>
    <comment ref="F156" authorId="0" shapeId="0">
      <text>
        <r>
          <rPr>
            <b/>
            <sz val="9"/>
            <color indexed="81"/>
            <rFont val="Tahoma"/>
            <family val="2"/>
          </rPr>
          <t>GranPc:</t>
        </r>
        <r>
          <rPr>
            <sz val="9"/>
            <color indexed="81"/>
            <rFont val="Tahoma"/>
            <family val="2"/>
          </rPr>
          <t xml:space="preserve">
DCTO 132,350 POR RECOGER CAPITAL</t>
        </r>
      </text>
    </comment>
    <comment ref="F161" authorId="0" shapeId="0">
      <text>
        <r>
          <rPr>
            <b/>
            <sz val="9"/>
            <color indexed="81"/>
            <rFont val="Tahoma"/>
            <family val="2"/>
          </rPr>
          <t>GranPc:</t>
        </r>
        <r>
          <rPr>
            <sz val="9"/>
            <color indexed="81"/>
            <rFont val="Tahoma"/>
            <family val="2"/>
          </rPr>
          <t xml:space="preserve">
SE LE COBRARON 11,968 POR 19 DIAS DE MORA</t>
        </r>
      </text>
    </comment>
    <comment ref="F164" authorId="0" shapeId="0">
      <text>
        <r>
          <rPr>
            <b/>
            <sz val="9"/>
            <color indexed="81"/>
            <rFont val="Tahoma"/>
            <family val="2"/>
          </rPr>
          <t>GranPc:</t>
        </r>
        <r>
          <rPr>
            <sz val="9"/>
            <color indexed="81"/>
            <rFont val="Tahoma"/>
            <family val="2"/>
          </rPr>
          <t xml:space="preserve">
SE LE COBRARON 14,787 POR 17 DIAS DE MORA</t>
        </r>
      </text>
    </comment>
    <comment ref="F169" authorId="0" shapeId="0">
      <text>
        <r>
          <rPr>
            <b/>
            <sz val="9"/>
            <color indexed="81"/>
            <rFont val="Tahoma"/>
            <family val="2"/>
          </rPr>
          <t>GranPc:</t>
        </r>
        <r>
          <rPr>
            <sz val="9"/>
            <color indexed="81"/>
            <rFont val="Tahoma"/>
            <family val="2"/>
          </rPr>
          <t xml:space="preserve">
SE LE COBRARON 4,628 POR 8 DIAS DE MORA</t>
        </r>
      </text>
    </comment>
    <comment ref="F183" authorId="0" shapeId="0">
      <text>
        <r>
          <rPr>
            <b/>
            <sz val="9"/>
            <color indexed="81"/>
            <rFont val="Tahoma"/>
            <family val="2"/>
          </rPr>
          <t>GranPc:</t>
        </r>
        <r>
          <rPr>
            <sz val="9"/>
            <color indexed="81"/>
            <rFont val="Tahoma"/>
            <family val="2"/>
          </rPr>
          <t xml:space="preserve">
SE LE COBRARON 6,245 POR 8 DIAS DE MORA</t>
        </r>
      </text>
    </comment>
    <comment ref="F187" authorId="0" shapeId="0">
      <text>
        <r>
          <rPr>
            <b/>
            <sz val="9"/>
            <color indexed="81"/>
            <rFont val="Tahoma"/>
            <family val="2"/>
          </rPr>
          <t>GranPc:</t>
        </r>
        <r>
          <rPr>
            <sz val="9"/>
            <color indexed="81"/>
            <rFont val="Tahoma"/>
            <family val="2"/>
          </rPr>
          <t xml:space="preserve">
SE LE COBRARON 11,779 POR 11 DIAS DE MORA</t>
        </r>
      </text>
    </comment>
    <comment ref="F188" authorId="0" shapeId="0">
      <text>
        <r>
          <rPr>
            <b/>
            <sz val="9"/>
            <color indexed="81"/>
            <rFont val="Tahoma"/>
            <family val="2"/>
          </rPr>
          <t>GranPc:</t>
        </r>
        <r>
          <rPr>
            <sz val="9"/>
            <color indexed="81"/>
            <rFont val="Tahoma"/>
            <family val="2"/>
          </rPr>
          <t xml:space="preserve">
SE LE COBRARON 5,853 POR 14 DIAS DE MORA</t>
        </r>
      </text>
    </comment>
    <comment ref="F198" authorId="0" shapeId="0">
      <text>
        <r>
          <rPr>
            <b/>
            <sz val="9"/>
            <color indexed="81"/>
            <rFont val="Tahoma"/>
            <family val="2"/>
          </rPr>
          <t>GranPc:</t>
        </r>
        <r>
          <rPr>
            <sz val="9"/>
            <color indexed="81"/>
            <rFont val="Tahoma"/>
            <family val="2"/>
          </rPr>
          <t xml:space="preserve">
SE LE COBRARON 5,883 POR 11 DIAS DE MORA</t>
        </r>
      </text>
    </comment>
    <comment ref="F201" authorId="0" shapeId="0">
      <text>
        <r>
          <rPr>
            <b/>
            <sz val="9"/>
            <color indexed="81"/>
            <rFont val="Tahoma"/>
            <family val="2"/>
          </rPr>
          <t>GranPc:</t>
        </r>
        <r>
          <rPr>
            <sz val="9"/>
            <color indexed="81"/>
            <rFont val="Tahoma"/>
            <family val="2"/>
          </rPr>
          <t xml:space="preserve">
SE LE COBRARON 30,654 POR 34 DIAS DE MORA</t>
        </r>
      </text>
    </comment>
    <comment ref="F209" authorId="0" shapeId="0">
      <text>
        <r>
          <rPr>
            <b/>
            <sz val="9"/>
            <color indexed="81"/>
            <rFont val="Tahoma"/>
            <family val="2"/>
          </rPr>
          <t>GranPc:</t>
        </r>
        <r>
          <rPr>
            <sz val="9"/>
            <color indexed="81"/>
            <rFont val="Tahoma"/>
            <family val="2"/>
          </rPr>
          <t xml:space="preserve">
DCTO 132,350 POR RECOGER CAPITAL</t>
        </r>
      </text>
    </comment>
    <comment ref="F211" authorId="0" shapeId="0">
      <text>
        <r>
          <rPr>
            <b/>
            <sz val="9"/>
            <color indexed="81"/>
            <rFont val="Tahoma"/>
            <family val="2"/>
          </rPr>
          <t>GranPc:</t>
        </r>
        <r>
          <rPr>
            <sz val="9"/>
            <color indexed="81"/>
            <rFont val="Tahoma"/>
            <family val="2"/>
          </rPr>
          <t xml:space="preserve">
SE LE COBRARON 4,709 POR 15 DIAS DE MORA</t>
        </r>
      </text>
    </comment>
    <comment ref="F212" authorId="0" shapeId="0">
      <text>
        <r>
          <rPr>
            <b/>
            <sz val="9"/>
            <color indexed="81"/>
            <rFont val="Tahoma"/>
            <family val="2"/>
          </rPr>
          <t>GranPc:</t>
        </r>
        <r>
          <rPr>
            <sz val="9"/>
            <color indexed="81"/>
            <rFont val="Tahoma"/>
            <family val="2"/>
          </rPr>
          <t xml:space="preserve">
SE LE COBRARON 7,123 POR 10 DIAS DE MORA</t>
        </r>
      </text>
    </comment>
    <comment ref="F213" authorId="0" shapeId="0">
      <text>
        <r>
          <rPr>
            <b/>
            <sz val="9"/>
            <color indexed="81"/>
            <rFont val="Tahoma"/>
            <family val="2"/>
          </rPr>
          <t>GranPc:</t>
        </r>
        <r>
          <rPr>
            <sz val="9"/>
            <color indexed="81"/>
            <rFont val="Tahoma"/>
            <family val="2"/>
          </rPr>
          <t xml:space="preserve">
SE LE COBRARON 20,157 POR 32 DIAS DE MORA</t>
        </r>
      </text>
    </comment>
    <comment ref="F216" authorId="0" shapeId="0">
      <text>
        <r>
          <rPr>
            <b/>
            <sz val="9"/>
            <color indexed="81"/>
            <rFont val="Tahoma"/>
            <family val="2"/>
          </rPr>
          <t>GranPc:</t>
        </r>
        <r>
          <rPr>
            <sz val="9"/>
            <color indexed="81"/>
            <rFont val="Tahoma"/>
            <family val="2"/>
          </rPr>
          <t xml:space="preserve">
SE LE COBRARON 13,917 POR 16 DIAS DE MORA</t>
        </r>
      </text>
    </comment>
    <comment ref="F217" authorId="0" shapeId="0">
      <text>
        <r>
          <rPr>
            <b/>
            <sz val="9"/>
            <color indexed="81"/>
            <rFont val="Tahoma"/>
            <family val="2"/>
          </rPr>
          <t>GranPc:</t>
        </r>
        <r>
          <rPr>
            <sz val="9"/>
            <color indexed="81"/>
            <rFont val="Tahoma"/>
            <family val="2"/>
          </rPr>
          <t xml:space="preserve">
SE LE COBRARON 12,066 POR 11 DIAS DE MORA</t>
        </r>
      </text>
    </comment>
    <comment ref="F222" authorId="0" shapeId="0">
      <text>
        <r>
          <rPr>
            <b/>
            <sz val="9"/>
            <color indexed="81"/>
            <rFont val="Tahoma"/>
            <family val="2"/>
          </rPr>
          <t>GranPc:</t>
        </r>
        <r>
          <rPr>
            <sz val="9"/>
            <color indexed="81"/>
            <rFont val="Tahoma"/>
            <family val="2"/>
          </rPr>
          <t xml:space="preserve">
SE LE COBRARON 4,846 POR 8 DIAS DE MORA</t>
        </r>
      </text>
    </comment>
    <comment ref="F225" authorId="0" shapeId="0">
      <text>
        <r>
          <rPr>
            <b/>
            <sz val="9"/>
            <color indexed="81"/>
            <rFont val="Tahoma"/>
            <family val="2"/>
          </rPr>
          <t>GranPc:</t>
        </r>
        <r>
          <rPr>
            <sz val="9"/>
            <color indexed="81"/>
            <rFont val="Tahoma"/>
            <family val="2"/>
          </rPr>
          <t xml:space="preserve">
SE LE COBRARON 16,815 POR 10 DIAS DE MORA</t>
        </r>
      </text>
    </comment>
    <comment ref="F234" authorId="0" shapeId="0">
      <text>
        <r>
          <rPr>
            <b/>
            <sz val="9"/>
            <color indexed="81"/>
            <rFont val="Tahoma"/>
            <family val="2"/>
          </rPr>
          <t>GranPc:</t>
        </r>
        <r>
          <rPr>
            <sz val="9"/>
            <color indexed="81"/>
            <rFont val="Tahoma"/>
            <family val="2"/>
          </rPr>
          <t xml:space="preserve">
SE LE COBRARON 17,544 POR 9 DIAS DE MORA</t>
        </r>
      </text>
    </comment>
    <comment ref="F238" authorId="0" shapeId="0">
      <text>
        <r>
          <rPr>
            <b/>
            <sz val="9"/>
            <color indexed="81"/>
            <rFont val="Tahoma"/>
            <family val="2"/>
          </rPr>
          <t>GranPc:</t>
        </r>
        <r>
          <rPr>
            <sz val="9"/>
            <color indexed="81"/>
            <rFont val="Tahoma"/>
            <family val="2"/>
          </rPr>
          <t xml:space="preserve">
SE LE COBRARON 7,806 POR 10 DIAS DE MORA</t>
        </r>
      </text>
    </comment>
    <comment ref="F242" authorId="0" shapeId="0">
      <text>
        <r>
          <rPr>
            <b/>
            <sz val="9"/>
            <color indexed="81"/>
            <rFont val="Tahoma"/>
            <family val="2"/>
          </rPr>
          <t>GranPc:</t>
        </r>
        <r>
          <rPr>
            <sz val="9"/>
            <color indexed="81"/>
            <rFont val="Tahoma"/>
            <family val="2"/>
          </rPr>
          <t xml:space="preserve">
SE LE COBRARON 91,018 POR 85 DIAS DE MORA X DEBE LOS INTERESES</t>
        </r>
      </text>
    </comment>
    <comment ref="F251" authorId="0" shapeId="0">
      <text>
        <r>
          <rPr>
            <b/>
            <sz val="9"/>
            <color indexed="81"/>
            <rFont val="Tahoma"/>
            <family val="2"/>
          </rPr>
          <t>GranPc:</t>
        </r>
        <r>
          <rPr>
            <sz val="9"/>
            <color indexed="81"/>
            <rFont val="Tahoma"/>
            <family val="2"/>
          </rPr>
          <t xml:space="preserve">
SE LE COBRARON 8,689 POR 11 DIAS DE MORA</t>
        </r>
      </text>
    </comment>
    <comment ref="F255" authorId="0" shapeId="0">
      <text>
        <r>
          <rPr>
            <b/>
            <sz val="9"/>
            <color indexed="81"/>
            <rFont val="Tahoma"/>
            <family val="2"/>
          </rPr>
          <t>GranPc:</t>
        </r>
        <r>
          <rPr>
            <sz val="9"/>
            <color indexed="81"/>
            <rFont val="Tahoma"/>
            <family val="2"/>
          </rPr>
          <t xml:space="preserve">
SE LE COBRARON 10,084 POR 31 DIAS DE MORA</t>
        </r>
      </text>
    </comment>
    <comment ref="F258" authorId="0" shapeId="0">
      <text>
        <r>
          <rPr>
            <b/>
            <sz val="9"/>
            <color indexed="81"/>
            <rFont val="Tahoma"/>
            <family val="2"/>
          </rPr>
          <t>GranPc:</t>
        </r>
        <r>
          <rPr>
            <sz val="9"/>
            <color indexed="81"/>
            <rFont val="Tahoma"/>
            <family val="2"/>
          </rPr>
          <t xml:space="preserve">
SE LE COBRARON 3,902 POR 9 DIAS DE MORA</t>
        </r>
      </text>
    </comment>
    <comment ref="F259" authorId="0" shapeId="0">
      <text>
        <r>
          <rPr>
            <b/>
            <sz val="9"/>
            <color indexed="81"/>
            <rFont val="Tahoma"/>
            <family val="2"/>
          </rPr>
          <t>GranPc:</t>
        </r>
        <r>
          <rPr>
            <sz val="9"/>
            <color indexed="81"/>
            <rFont val="Tahoma"/>
            <family val="2"/>
          </rPr>
          <t xml:space="preserve">
SE LE COBRARON 9,126 POR 19 DIAS DE MORA</t>
        </r>
      </text>
    </comment>
    <comment ref="F263" authorId="0" shapeId="0">
      <text>
        <r>
          <rPr>
            <b/>
            <sz val="9"/>
            <color indexed="81"/>
            <rFont val="Tahoma"/>
            <family val="2"/>
          </rPr>
          <t>GranPc:</t>
        </r>
        <r>
          <rPr>
            <sz val="9"/>
            <color indexed="81"/>
            <rFont val="Tahoma"/>
            <family val="2"/>
          </rPr>
          <t xml:space="preserve">
SE LE COBRARON 50,027 POR 47 DIAS DE MORA</t>
        </r>
      </text>
    </comment>
    <comment ref="F264" authorId="0" shapeId="0">
      <text>
        <r>
          <rPr>
            <b/>
            <sz val="9"/>
            <color indexed="81"/>
            <rFont val="Tahoma"/>
            <family val="2"/>
          </rPr>
          <t>GranPc:</t>
        </r>
        <r>
          <rPr>
            <sz val="9"/>
            <color indexed="81"/>
            <rFont val="Tahoma"/>
            <family val="2"/>
          </rPr>
          <t xml:space="preserve">
DCTO 132,350 POR RECOGER CAPITAL</t>
        </r>
      </text>
    </comment>
    <comment ref="F268" authorId="0" shapeId="0">
      <text>
        <r>
          <rPr>
            <b/>
            <sz val="9"/>
            <color indexed="81"/>
            <rFont val="Tahoma"/>
            <family val="2"/>
          </rPr>
          <t>GranPc:</t>
        </r>
        <r>
          <rPr>
            <sz val="9"/>
            <color indexed="81"/>
            <rFont val="Tahoma"/>
            <family val="2"/>
          </rPr>
          <t xml:space="preserve">
SE LE COBRARON 7,123 POR 10 DIAS DE MORA</t>
        </r>
      </text>
    </comment>
    <comment ref="F270" authorId="0" shapeId="0">
      <text>
        <r>
          <rPr>
            <b/>
            <sz val="9"/>
            <color indexed="81"/>
            <rFont val="Tahoma"/>
            <family val="2"/>
          </rPr>
          <t>GranPc:</t>
        </r>
        <r>
          <rPr>
            <sz val="9"/>
            <color indexed="81"/>
            <rFont val="Tahoma"/>
            <family val="2"/>
          </rPr>
          <t xml:space="preserve">
SE LE COBRARON 25,826 POR 41 DIAS DE MORA</t>
        </r>
      </text>
    </comment>
    <comment ref="F272" authorId="0" shapeId="0">
      <text>
        <r>
          <rPr>
            <b/>
            <sz val="9"/>
            <color indexed="81"/>
            <rFont val="Tahoma"/>
            <family val="2"/>
          </rPr>
          <t>GranPc:</t>
        </r>
        <r>
          <rPr>
            <sz val="9"/>
            <color indexed="81"/>
            <rFont val="Tahoma"/>
            <family val="2"/>
          </rPr>
          <t xml:space="preserve">
SE LE COBRARON 32,180 POR 40 DIAS DE MORA</t>
        </r>
      </text>
    </comment>
    <comment ref="F276" authorId="0" shapeId="0">
      <text>
        <r>
          <rPr>
            <b/>
            <sz val="9"/>
            <color indexed="81"/>
            <rFont val="Tahoma"/>
            <family val="2"/>
          </rPr>
          <t>GranPc:</t>
        </r>
        <r>
          <rPr>
            <sz val="9"/>
            <color indexed="81"/>
            <rFont val="Tahoma"/>
            <family val="2"/>
          </rPr>
          <t xml:space="preserve">
SE LE COBRARON 45,654 POR 85 DIAS DE MORA</t>
        </r>
      </text>
    </comment>
    <comment ref="F287" authorId="0" shapeId="0">
      <text>
        <r>
          <rPr>
            <b/>
            <sz val="9"/>
            <color indexed="81"/>
            <rFont val="Tahoma"/>
            <family val="2"/>
          </rPr>
          <t>GranPc:</t>
        </r>
        <r>
          <rPr>
            <sz val="9"/>
            <color indexed="81"/>
            <rFont val="Tahoma"/>
            <family val="2"/>
          </rPr>
          <t xml:space="preserve">
DCTO 99,126 POR RECOGER CAPITAL</t>
        </r>
      </text>
    </comment>
    <comment ref="F291" authorId="0" shapeId="0">
      <text>
        <r>
          <rPr>
            <b/>
            <sz val="9"/>
            <color indexed="81"/>
            <rFont val="Tahoma"/>
            <family val="2"/>
          </rPr>
          <t>GranPc:</t>
        </r>
        <r>
          <rPr>
            <sz val="9"/>
            <color indexed="81"/>
            <rFont val="Tahoma"/>
            <family val="2"/>
          </rPr>
          <t xml:space="preserve">
DCTO 108,421 POR RECOGER CAPITAL</t>
        </r>
      </text>
    </comment>
    <comment ref="F296" authorId="0" shapeId="0">
      <text>
        <r>
          <rPr>
            <b/>
            <sz val="9"/>
            <color indexed="81"/>
            <rFont val="Tahoma"/>
            <family val="2"/>
          </rPr>
          <t>GranPc:</t>
        </r>
        <r>
          <rPr>
            <sz val="9"/>
            <color indexed="81"/>
            <rFont val="Tahoma"/>
            <family val="2"/>
          </rPr>
          <t xml:space="preserve">
SE LE COBRARON 14,265 POR 25 DIAS DE MORA</t>
        </r>
      </text>
    </comment>
    <comment ref="F297" authorId="0" shapeId="0">
      <text>
        <r>
          <rPr>
            <b/>
            <sz val="9"/>
            <color indexed="81"/>
            <rFont val="Tahoma"/>
            <family val="2"/>
          </rPr>
          <t>GranPc:</t>
        </r>
        <r>
          <rPr>
            <sz val="9"/>
            <color indexed="81"/>
            <rFont val="Tahoma"/>
            <family val="2"/>
          </rPr>
          <t xml:space="preserve">
SE LE COBRARON 14,051 POR 18 DIAS DE MORA</t>
        </r>
      </text>
    </comment>
    <comment ref="F302" authorId="0" shapeId="0">
      <text>
        <r>
          <rPr>
            <b/>
            <sz val="9"/>
            <color indexed="81"/>
            <rFont val="Tahoma"/>
            <family val="2"/>
          </rPr>
          <t>GranPc:</t>
        </r>
        <r>
          <rPr>
            <sz val="9"/>
            <color indexed="81"/>
            <rFont val="Tahoma"/>
            <family val="2"/>
          </rPr>
          <t xml:space="preserve">
SE LE COBRARON 5,435 POR 13 DIAS DE MORA</t>
        </r>
      </text>
    </comment>
    <comment ref="F305" authorId="0" shapeId="0">
      <text>
        <r>
          <rPr>
            <b/>
            <sz val="9"/>
            <color indexed="81"/>
            <rFont val="Tahoma"/>
            <family val="2"/>
          </rPr>
          <t>GranPc:</t>
        </r>
        <r>
          <rPr>
            <sz val="9"/>
            <color indexed="81"/>
            <rFont val="Tahoma"/>
            <family val="2"/>
          </rPr>
          <t xml:space="preserve">
SE LE COBRARON 18,057 POR 55 DIAS DE MORA X DEBE LOS INTERESES</t>
        </r>
      </text>
    </comment>
    <comment ref="F308" authorId="0" shapeId="0">
      <text>
        <r>
          <rPr>
            <b/>
            <sz val="9"/>
            <color indexed="81"/>
            <rFont val="Tahoma"/>
            <family val="2"/>
          </rPr>
          <t>GranPc:</t>
        </r>
        <r>
          <rPr>
            <sz val="9"/>
            <color indexed="81"/>
            <rFont val="Tahoma"/>
            <family val="2"/>
          </rPr>
          <t xml:space="preserve">
SE LE COBRARON 10,593 POR 19 DIAS DE MORA</t>
        </r>
      </text>
    </comment>
    <comment ref="F312" authorId="0" shapeId="0">
      <text>
        <r>
          <rPr>
            <b/>
            <sz val="9"/>
            <color indexed="81"/>
            <rFont val="Tahoma"/>
            <family val="2"/>
          </rPr>
          <t>GranPc:</t>
        </r>
        <r>
          <rPr>
            <sz val="9"/>
            <color indexed="81"/>
            <rFont val="Tahoma"/>
            <family val="2"/>
          </rPr>
          <t xml:space="preserve">
SE LE COBRARON 12,300 POR 23 DIAS DE MORA</t>
        </r>
      </text>
    </comment>
    <comment ref="F315" authorId="0" shapeId="0">
      <text>
        <r>
          <rPr>
            <b/>
            <sz val="9"/>
            <color indexed="81"/>
            <rFont val="Tahoma"/>
            <family val="2"/>
          </rPr>
          <t>GranPc:</t>
        </r>
        <r>
          <rPr>
            <sz val="9"/>
            <color indexed="81"/>
            <rFont val="Tahoma"/>
            <family val="2"/>
          </rPr>
          <t xml:space="preserve">
NO SE LE COBRARON 91,062 POR 101 DIAS DE MORA X ACUERDO</t>
        </r>
      </text>
    </comment>
    <comment ref="F322" authorId="0" shapeId="0">
      <text>
        <r>
          <rPr>
            <b/>
            <sz val="9"/>
            <color indexed="81"/>
            <rFont val="Tahoma"/>
            <family val="2"/>
          </rPr>
          <t>GranPc:</t>
        </r>
        <r>
          <rPr>
            <sz val="9"/>
            <color indexed="81"/>
            <rFont val="Tahoma"/>
            <family val="2"/>
          </rPr>
          <t xml:space="preserve">
SE LE COBRARON 18,095 POR 17 DIAS DE MORA</t>
        </r>
      </text>
    </comment>
    <comment ref="F323" authorId="0" shapeId="0">
      <text>
        <r>
          <rPr>
            <b/>
            <sz val="9"/>
            <color indexed="81"/>
            <rFont val="Tahoma"/>
            <family val="2"/>
          </rPr>
          <t>GranPc:</t>
        </r>
        <r>
          <rPr>
            <sz val="9"/>
            <color indexed="81"/>
            <rFont val="Tahoma"/>
            <family val="2"/>
          </rPr>
          <t xml:space="preserve">
DCTO 132,350 POR RECOGER CAPITAL</t>
        </r>
      </text>
    </comment>
    <comment ref="F326" authorId="0" shapeId="0">
      <text>
        <r>
          <rPr>
            <b/>
            <sz val="9"/>
            <color indexed="81"/>
            <rFont val="Tahoma"/>
            <family val="2"/>
          </rPr>
          <t>GranPc:</t>
        </r>
        <r>
          <rPr>
            <sz val="9"/>
            <color indexed="81"/>
            <rFont val="Tahoma"/>
            <family val="2"/>
          </rPr>
          <t xml:space="preserve">
SE LE COBRARON 18,502 POR 22 DIAS DE MORA </t>
        </r>
      </text>
    </comment>
    <comment ref="G326" authorId="0" shapeId="0">
      <text>
        <r>
          <rPr>
            <b/>
            <sz val="9"/>
            <color indexed="81"/>
            <rFont val="Tahoma"/>
            <family val="2"/>
          </rPr>
          <t>GranPc:</t>
        </r>
        <r>
          <rPr>
            <sz val="9"/>
            <color indexed="81"/>
            <rFont val="Tahoma"/>
            <family val="2"/>
          </rPr>
          <t xml:space="preserve">
ABONO 841,000 15 ENERO 18,502 10 ABRIL</t>
        </r>
      </text>
    </comment>
    <comment ref="F327" authorId="0" shapeId="0">
      <text>
        <r>
          <rPr>
            <b/>
            <sz val="9"/>
            <color indexed="81"/>
            <rFont val="Tahoma"/>
            <family val="2"/>
          </rPr>
          <t>GranPc:</t>
        </r>
        <r>
          <rPr>
            <sz val="9"/>
            <color indexed="81"/>
            <rFont val="Tahoma"/>
            <family val="2"/>
          </rPr>
          <t xml:space="preserve">
SE LE COBRARON 9,260 POR 13 DIAS DE MORA</t>
        </r>
      </text>
    </comment>
    <comment ref="F332" authorId="0" shapeId="0">
      <text>
        <r>
          <rPr>
            <b/>
            <sz val="9"/>
            <color indexed="81"/>
            <rFont val="Tahoma"/>
            <family val="2"/>
          </rPr>
          <t>GranPc:</t>
        </r>
        <r>
          <rPr>
            <sz val="9"/>
            <color indexed="81"/>
            <rFont val="Tahoma"/>
            <family val="2"/>
          </rPr>
          <t xml:space="preserve">
SE LE COBRARON 6,929 POR 11 DIAS DE MORA</t>
        </r>
      </text>
    </comment>
    <comment ref="F334" authorId="0" shapeId="0">
      <text>
        <r>
          <rPr>
            <b/>
            <sz val="9"/>
            <color indexed="81"/>
            <rFont val="Tahoma"/>
            <family val="2"/>
          </rPr>
          <t>GranPc:</t>
        </r>
        <r>
          <rPr>
            <sz val="9"/>
            <color indexed="81"/>
            <rFont val="Tahoma"/>
            <family val="2"/>
          </rPr>
          <t xml:space="preserve">
SE LE COBRARON 8,045 POR 10 DIAS DE MORA</t>
        </r>
      </text>
    </comment>
    <comment ref="F336" authorId="0" shapeId="0">
      <text>
        <r>
          <rPr>
            <b/>
            <sz val="9"/>
            <color indexed="81"/>
            <rFont val="Tahoma"/>
            <family val="2"/>
          </rPr>
          <t>GranPc:</t>
        </r>
        <r>
          <rPr>
            <sz val="9"/>
            <color indexed="81"/>
            <rFont val="Tahoma"/>
            <family val="2"/>
          </rPr>
          <t xml:space="preserve">
SE LE COBRARON 9,872 POR 9 DIAS DE MORA</t>
        </r>
      </text>
    </comment>
    <comment ref="F338" authorId="0" shapeId="0">
      <text>
        <r>
          <rPr>
            <b/>
            <sz val="9"/>
            <color indexed="81"/>
            <rFont val="Tahoma"/>
            <family val="2"/>
          </rPr>
          <t>GranPc:</t>
        </r>
        <r>
          <rPr>
            <sz val="9"/>
            <color indexed="81"/>
            <rFont val="Tahoma"/>
            <family val="2"/>
          </rPr>
          <t xml:space="preserve">
SE LE COBRARON 29,541 POR 55 DIAS DE MORA</t>
        </r>
      </text>
    </comment>
    <comment ref="F341" authorId="0" shapeId="0">
      <text>
        <r>
          <rPr>
            <b/>
            <sz val="9"/>
            <color indexed="81"/>
            <rFont val="Tahoma"/>
            <family val="2"/>
          </rPr>
          <t>GranPc:</t>
        </r>
        <r>
          <rPr>
            <sz val="9"/>
            <color indexed="81"/>
            <rFont val="Tahoma"/>
            <family val="2"/>
          </rPr>
          <t xml:space="preserve">
DCTO 302,709 POR RECOGER CAPITAL</t>
        </r>
      </text>
    </comment>
    <comment ref="F342" authorId="0" shapeId="0">
      <text>
        <r>
          <rPr>
            <b/>
            <sz val="9"/>
            <color indexed="81"/>
            <rFont val="Tahoma"/>
            <family val="2"/>
          </rPr>
          <t>GranPc:</t>
        </r>
        <r>
          <rPr>
            <sz val="9"/>
            <color indexed="81"/>
            <rFont val="Tahoma"/>
            <family val="2"/>
          </rPr>
          <t xml:space="preserve">
DCTO 231,562 POR RECOGER CAPITAL</t>
        </r>
      </text>
    </comment>
    <comment ref="F349" authorId="0" shapeId="0">
      <text>
        <r>
          <rPr>
            <b/>
            <sz val="9"/>
            <color indexed="81"/>
            <rFont val="Tahoma"/>
            <family val="2"/>
          </rPr>
          <t>GranPc:</t>
        </r>
        <r>
          <rPr>
            <sz val="9"/>
            <color indexed="81"/>
            <rFont val="Tahoma"/>
            <family val="2"/>
          </rPr>
          <t xml:space="preserve">
SE LE COBRARON 13,437 POR 13 DIAS DE MORA</t>
        </r>
      </text>
    </comment>
    <comment ref="F352" authorId="0" shapeId="0">
      <text>
        <r>
          <rPr>
            <b/>
            <sz val="9"/>
            <color indexed="81"/>
            <rFont val="Tahoma"/>
            <family val="2"/>
          </rPr>
          <t>GranPc:</t>
        </r>
        <r>
          <rPr>
            <sz val="9"/>
            <color indexed="81"/>
            <rFont val="Tahoma"/>
            <family val="2"/>
          </rPr>
          <t xml:space="preserve">
DCTO 67,200 POR RECOGER CAPITAL</t>
        </r>
      </text>
    </comment>
    <comment ref="F358" authorId="0" shapeId="0">
      <text>
        <r>
          <rPr>
            <b/>
            <sz val="9"/>
            <color indexed="81"/>
            <rFont val="Tahoma"/>
            <family val="2"/>
          </rPr>
          <t>GranPc:</t>
        </r>
        <r>
          <rPr>
            <sz val="9"/>
            <color indexed="81"/>
            <rFont val="Tahoma"/>
            <family val="2"/>
          </rPr>
          <t xml:space="preserve">
SE LE COBRARON 5,536 POR 9 DIAS DE MORA</t>
        </r>
      </text>
    </comment>
    <comment ref="F360" authorId="0" shapeId="0">
      <text>
        <r>
          <rPr>
            <b/>
            <sz val="9"/>
            <color indexed="81"/>
            <rFont val="Tahoma"/>
            <family val="2"/>
          </rPr>
          <t>GranPc:</t>
        </r>
        <r>
          <rPr>
            <sz val="9"/>
            <color indexed="81"/>
            <rFont val="Tahoma"/>
            <family val="2"/>
          </rPr>
          <t xml:space="preserve">
DCTO 91,874 POR RECOGER CAPITAL</t>
        </r>
      </text>
    </comment>
    <comment ref="F361" authorId="0" shapeId="0">
      <text>
        <r>
          <rPr>
            <b/>
            <sz val="9"/>
            <color indexed="81"/>
            <rFont val="Tahoma"/>
            <family val="2"/>
          </rPr>
          <t>GranPc:</t>
        </r>
        <r>
          <rPr>
            <sz val="9"/>
            <color indexed="81"/>
            <rFont val="Tahoma"/>
            <family val="2"/>
          </rPr>
          <t xml:space="preserve">
SE LE COBRARON 7,826 POR 10 DIAS DE MORA</t>
        </r>
      </text>
    </comment>
    <comment ref="F362" authorId="0" shapeId="0">
      <text>
        <r>
          <rPr>
            <b/>
            <sz val="9"/>
            <color indexed="81"/>
            <rFont val="Tahoma"/>
            <family val="2"/>
          </rPr>
          <t>GranPc:</t>
        </r>
        <r>
          <rPr>
            <sz val="9"/>
            <color indexed="81"/>
            <rFont val="Tahoma"/>
            <family val="2"/>
          </rPr>
          <t xml:space="preserve">
SE LE COBRARON 19,493 POR 10 DIAS DE MORA</t>
        </r>
      </text>
    </comment>
    <comment ref="F365" authorId="0" shapeId="0">
      <text>
        <r>
          <rPr>
            <b/>
            <sz val="9"/>
            <color indexed="81"/>
            <rFont val="Tahoma"/>
            <family val="2"/>
          </rPr>
          <t>GranPc:</t>
        </r>
        <r>
          <rPr>
            <sz val="9"/>
            <color indexed="81"/>
            <rFont val="Tahoma"/>
            <family val="2"/>
          </rPr>
          <t xml:space="preserve">
SE LE COBRARON 10,605 POR 10 DIAS DE MORA</t>
        </r>
      </text>
    </comment>
    <comment ref="F366" authorId="0" shapeId="0">
      <text>
        <r>
          <rPr>
            <b/>
            <sz val="9"/>
            <color indexed="81"/>
            <rFont val="Tahoma"/>
            <family val="2"/>
          </rPr>
          <t>GranPc:</t>
        </r>
        <r>
          <rPr>
            <sz val="9"/>
            <color indexed="81"/>
            <rFont val="Tahoma"/>
            <family val="2"/>
          </rPr>
          <t xml:space="preserve">
SE LE COBRARON 22,253 POR 39 DIAS DE MORA X DEBE LOS INTERESES</t>
        </r>
      </text>
    </comment>
    <comment ref="F378" authorId="0" shapeId="0">
      <text>
        <r>
          <rPr>
            <b/>
            <sz val="9"/>
            <color indexed="81"/>
            <rFont val="Tahoma"/>
            <family val="2"/>
          </rPr>
          <t>GranPc:</t>
        </r>
        <r>
          <rPr>
            <sz val="9"/>
            <color indexed="81"/>
            <rFont val="Tahoma"/>
            <family val="2"/>
          </rPr>
          <t xml:space="preserve">
SE LE COBRARON 7,879 POR 24 DIAS DE MORA X DEBE LOS INTERESES</t>
        </r>
      </text>
    </comment>
    <comment ref="F380" authorId="0" shapeId="0">
      <text>
        <r>
          <rPr>
            <b/>
            <sz val="9"/>
            <color indexed="81"/>
            <rFont val="Tahoma"/>
            <family val="2"/>
          </rPr>
          <t>GranPc:</t>
        </r>
        <r>
          <rPr>
            <sz val="9"/>
            <color indexed="81"/>
            <rFont val="Tahoma"/>
            <family val="2"/>
          </rPr>
          <t xml:space="preserve">
SE LE COBRARON 9,950 POR 15 DIAS DE MORA X DEBE LOS INTERESES</t>
        </r>
      </text>
    </comment>
    <comment ref="F381" authorId="0" shapeId="0">
      <text>
        <r>
          <rPr>
            <b/>
            <sz val="9"/>
            <color indexed="81"/>
            <rFont val="Tahoma"/>
            <family val="2"/>
          </rPr>
          <t>GranPc:</t>
        </r>
        <r>
          <rPr>
            <sz val="9"/>
            <color indexed="81"/>
            <rFont val="Tahoma"/>
            <family val="2"/>
          </rPr>
          <t xml:space="preserve">
SE LE COBRARON 17,840 POR 32 DIAS DE MORA</t>
        </r>
      </text>
    </comment>
    <comment ref="F388" authorId="0" shapeId="0">
      <text>
        <r>
          <rPr>
            <b/>
            <sz val="9"/>
            <color indexed="81"/>
            <rFont val="Tahoma"/>
            <family val="2"/>
          </rPr>
          <t>GranPc:</t>
        </r>
        <r>
          <rPr>
            <sz val="9"/>
            <color indexed="81"/>
            <rFont val="Tahoma"/>
            <family val="2"/>
          </rPr>
          <t xml:space="preserve">
NO SE LE COBRARON 63,112 POR 70 DIAS DE MORA X ACUERDO</t>
        </r>
      </text>
    </comment>
    <comment ref="F390" authorId="0" shapeId="0">
      <text>
        <r>
          <rPr>
            <b/>
            <sz val="9"/>
            <color indexed="81"/>
            <rFont val="Tahoma"/>
            <family val="2"/>
          </rPr>
          <t>GranPc:</t>
        </r>
        <r>
          <rPr>
            <sz val="9"/>
            <color indexed="81"/>
            <rFont val="Tahoma"/>
            <family val="2"/>
          </rPr>
          <t xml:space="preserve">
SE LE COBRARON 4,770 POR 11 DIAS DE MORA X DEBE LOS INTERESES</t>
        </r>
      </text>
    </comment>
    <comment ref="F391" authorId="0" shapeId="0">
      <text>
        <r>
          <rPr>
            <b/>
            <sz val="9"/>
            <color indexed="81"/>
            <rFont val="Tahoma"/>
            <family val="2"/>
          </rPr>
          <t>GranPc:</t>
        </r>
        <r>
          <rPr>
            <sz val="9"/>
            <color indexed="81"/>
            <rFont val="Tahoma"/>
            <family val="2"/>
          </rPr>
          <t xml:space="preserve">
SE LE COBRARON 7,685 POR 16 DIAS DE MORA X DEBE LOS INTERESES</t>
        </r>
      </text>
    </comment>
    <comment ref="F395" authorId="0" shapeId="0">
      <text>
        <r>
          <rPr>
            <b/>
            <sz val="9"/>
            <color indexed="81"/>
            <rFont val="Tahoma"/>
            <family val="2"/>
          </rPr>
          <t>GranPc:</t>
        </r>
        <r>
          <rPr>
            <sz val="9"/>
            <color indexed="81"/>
            <rFont val="Tahoma"/>
            <family val="2"/>
          </rPr>
          <t xml:space="preserve">
DCTO 132,350 POR RECOGER CAPITAL</t>
        </r>
      </text>
    </comment>
    <comment ref="F398" authorId="0" shapeId="0">
      <text>
        <r>
          <rPr>
            <b/>
            <sz val="9"/>
            <color indexed="81"/>
            <rFont val="Tahoma"/>
            <family val="2"/>
          </rPr>
          <t>GranPc:</t>
        </r>
        <r>
          <rPr>
            <sz val="9"/>
            <color indexed="81"/>
            <rFont val="Tahoma"/>
            <family val="2"/>
          </rPr>
          <t xml:space="preserve">
SE LE COBRARON 8,410 POR 10 DIAS DE MORA X DEBE LOS INTERESES</t>
        </r>
      </text>
    </comment>
    <comment ref="F401" authorId="0" shapeId="0">
      <text>
        <r>
          <rPr>
            <b/>
            <sz val="9"/>
            <color indexed="81"/>
            <rFont val="Tahoma"/>
            <family val="2"/>
          </rPr>
          <t>GranPc:</t>
        </r>
        <r>
          <rPr>
            <sz val="9"/>
            <color indexed="81"/>
            <rFont val="Tahoma"/>
            <family val="2"/>
          </rPr>
          <t xml:space="preserve">
SE LE COBRARON 12,109 POR 17 DIAS DE MORA X DEBE LOS INTERESES</t>
        </r>
      </text>
    </comment>
    <comment ref="F406" authorId="0" shapeId="0">
      <text>
        <r>
          <rPr>
            <b/>
            <sz val="9"/>
            <color indexed="81"/>
            <rFont val="Tahoma"/>
            <family val="2"/>
          </rPr>
          <t>GranPc:</t>
        </r>
        <r>
          <rPr>
            <sz val="9"/>
            <color indexed="81"/>
            <rFont val="Tahoma"/>
            <family val="2"/>
          </rPr>
          <t xml:space="preserve">
SE LE COBRARON 17,637 POR 28 DIAS DE MORA</t>
        </r>
      </text>
    </comment>
    <comment ref="F411" authorId="0" shapeId="0">
      <text>
        <r>
          <rPr>
            <b/>
            <sz val="9"/>
            <color indexed="81"/>
            <rFont val="Tahoma"/>
            <family val="2"/>
          </rPr>
          <t>GranPc:</t>
        </r>
        <r>
          <rPr>
            <sz val="9"/>
            <color indexed="81"/>
            <rFont val="Tahoma"/>
            <family val="2"/>
          </rPr>
          <t xml:space="preserve">
SE LE COBRARON 24,354 POR 28 DIAS DE MORA</t>
        </r>
      </text>
    </comment>
    <comment ref="F414" authorId="0" shapeId="0">
      <text>
        <r>
          <rPr>
            <b/>
            <sz val="9"/>
            <color indexed="81"/>
            <rFont val="Tahoma"/>
            <family val="2"/>
          </rPr>
          <t>GranPc:</t>
        </r>
        <r>
          <rPr>
            <sz val="9"/>
            <color indexed="81"/>
            <rFont val="Tahoma"/>
            <family val="2"/>
          </rPr>
          <t xml:space="preserve">
SE LE COBRARON 12,890 POR 24 DIAS DE MORA</t>
        </r>
      </text>
    </comment>
    <comment ref="F416" authorId="0" shapeId="0">
      <text>
        <r>
          <rPr>
            <b/>
            <sz val="9"/>
            <color indexed="81"/>
            <rFont val="Tahoma"/>
            <family val="2"/>
          </rPr>
          <t>GranPc:</t>
        </r>
        <r>
          <rPr>
            <sz val="9"/>
            <color indexed="81"/>
            <rFont val="Tahoma"/>
            <family val="2"/>
          </rPr>
          <t xml:space="preserve">
DCTO 285,584 POR RECOGER CAPITAL</t>
        </r>
      </text>
    </comment>
    <comment ref="F417" authorId="0" shapeId="0">
      <text>
        <r>
          <rPr>
            <b/>
            <sz val="9"/>
            <color indexed="81"/>
            <rFont val="Tahoma"/>
            <family val="2"/>
          </rPr>
          <t>GranPc:</t>
        </r>
        <r>
          <rPr>
            <sz val="9"/>
            <color indexed="81"/>
            <rFont val="Tahoma"/>
            <family val="2"/>
          </rPr>
          <t xml:space="preserve">
DCTO 218,463 POR RECOGER CAPITAL</t>
        </r>
      </text>
    </comment>
    <comment ref="F422" authorId="0" shapeId="0">
      <text>
        <r>
          <rPr>
            <b/>
            <sz val="9"/>
            <color indexed="81"/>
            <rFont val="Tahoma"/>
            <family val="2"/>
          </rPr>
          <t>GranPc:</t>
        </r>
        <r>
          <rPr>
            <sz val="9"/>
            <color indexed="81"/>
            <rFont val="Tahoma"/>
            <family val="2"/>
          </rPr>
          <t xml:space="preserve">
SE LE COBRARON 5,207 POR 9 DIAS DE MORA X DEBE LOS INTERESES</t>
        </r>
      </text>
    </comment>
    <comment ref="F427" authorId="0" shapeId="0">
      <text>
        <r>
          <rPr>
            <b/>
            <sz val="9"/>
            <color indexed="81"/>
            <rFont val="Tahoma"/>
            <family val="2"/>
          </rPr>
          <t>GranPc:</t>
        </r>
        <r>
          <rPr>
            <sz val="9"/>
            <color indexed="81"/>
            <rFont val="Tahoma"/>
            <family val="2"/>
          </rPr>
          <t xml:space="preserve">
DCTO 34,156 POR RECOGER CAPITAL</t>
        </r>
      </text>
    </comment>
    <comment ref="F435" authorId="0" shapeId="0">
      <text>
        <r>
          <rPr>
            <b/>
            <sz val="9"/>
            <color indexed="81"/>
            <rFont val="Tahoma"/>
            <family val="2"/>
          </rPr>
          <t>GranPc:</t>
        </r>
        <r>
          <rPr>
            <sz val="9"/>
            <color indexed="81"/>
            <rFont val="Tahoma"/>
            <family val="2"/>
          </rPr>
          <t xml:space="preserve">
DCTO 74,748 POR RECOGER CAPITAL</t>
        </r>
      </text>
    </comment>
    <comment ref="F436" authorId="0" shapeId="0">
      <text>
        <r>
          <rPr>
            <b/>
            <sz val="9"/>
            <color indexed="81"/>
            <rFont val="Tahoma"/>
            <family val="2"/>
          </rPr>
          <t>GranPc:</t>
        </r>
        <r>
          <rPr>
            <sz val="9"/>
            <color indexed="81"/>
            <rFont val="Tahoma"/>
            <family val="2"/>
          </rPr>
          <t xml:space="preserve">
DCTO 123,683 POR RECOGER CAPITAL</t>
        </r>
      </text>
    </comment>
    <comment ref="F437" authorId="0" shapeId="0">
      <text>
        <r>
          <rPr>
            <b/>
            <sz val="9"/>
            <color indexed="81"/>
            <rFont val="Tahoma"/>
            <family val="2"/>
          </rPr>
          <t>GranPc:</t>
        </r>
        <r>
          <rPr>
            <sz val="9"/>
            <color indexed="81"/>
            <rFont val="Tahoma"/>
            <family val="2"/>
          </rPr>
          <t xml:space="preserve">
SE LE COBRARON 15,594 POR 8 DIAS DE MORA X DEBE LOS INTERESES</t>
        </r>
      </text>
    </comment>
    <comment ref="F439" authorId="0" shapeId="0">
      <text>
        <r>
          <rPr>
            <b/>
            <sz val="9"/>
            <color indexed="81"/>
            <rFont val="Tahoma"/>
            <family val="2"/>
          </rPr>
          <t>GranPc:</t>
        </r>
        <r>
          <rPr>
            <sz val="9"/>
            <color indexed="81"/>
            <rFont val="Tahoma"/>
            <family val="2"/>
          </rPr>
          <t xml:space="preserve">
SE LE COBRARON 2,384 POR 8 DIAS DE MORA</t>
        </r>
      </text>
    </comment>
    <comment ref="F442" authorId="0" shapeId="0">
      <text>
        <r>
          <rPr>
            <b/>
            <sz val="9"/>
            <color indexed="81"/>
            <rFont val="Tahoma"/>
            <family val="2"/>
          </rPr>
          <t>GranPc:</t>
        </r>
        <r>
          <rPr>
            <sz val="9"/>
            <color indexed="81"/>
            <rFont val="Tahoma"/>
            <family val="2"/>
          </rPr>
          <t xml:space="preserve">
SE LE COBRARON 41,654 POR 73 DIAS DE MORA</t>
        </r>
      </text>
    </comment>
    <comment ref="F444" authorId="0" shapeId="0">
      <text>
        <r>
          <rPr>
            <b/>
            <sz val="9"/>
            <color indexed="81"/>
            <rFont val="Tahoma"/>
            <family val="2"/>
          </rPr>
          <t>GranPc:</t>
        </r>
        <r>
          <rPr>
            <sz val="9"/>
            <color indexed="81"/>
            <rFont val="Tahoma"/>
            <family val="2"/>
          </rPr>
          <t xml:space="preserve">
SE LE COBRARON 7,025 POR 9 DIAS DE MORA X DEBE LOS INTERESES</t>
        </r>
      </text>
    </comment>
    <comment ref="F456" authorId="0" shapeId="0">
      <text>
        <r>
          <rPr>
            <b/>
            <sz val="9"/>
            <color indexed="81"/>
            <rFont val="Tahoma"/>
            <family val="2"/>
          </rPr>
          <t>GranPc:</t>
        </r>
        <r>
          <rPr>
            <sz val="9"/>
            <color indexed="81"/>
            <rFont val="Tahoma"/>
            <family val="2"/>
          </rPr>
          <t xml:space="preserve">
SE LE COBRARON 16,415 POR 50 DIAS DE MORA</t>
        </r>
      </text>
    </comment>
    <comment ref="F458" authorId="0" shapeId="0">
      <text>
        <r>
          <rPr>
            <b/>
            <sz val="9"/>
            <color indexed="81"/>
            <rFont val="Tahoma"/>
            <family val="2"/>
          </rPr>
          <t>GranPc:</t>
        </r>
        <r>
          <rPr>
            <sz val="9"/>
            <color indexed="81"/>
            <rFont val="Tahoma"/>
            <family val="2"/>
          </rPr>
          <t xml:space="preserve">
SE LE COBRARON 5,970 POR 9 DIAS DE MORA</t>
        </r>
      </text>
    </comment>
    <comment ref="F462" authorId="0" shapeId="0">
      <text>
        <r>
          <rPr>
            <b/>
            <sz val="9"/>
            <color indexed="81"/>
            <rFont val="Tahoma"/>
            <family val="2"/>
          </rPr>
          <t>GranPc:</t>
        </r>
        <r>
          <rPr>
            <sz val="9"/>
            <color indexed="81"/>
            <rFont val="Tahoma"/>
            <family val="2"/>
          </rPr>
          <t xml:space="preserve">
SE LE COBRARON 109,796 POR 139 DIAS DE MORA</t>
        </r>
      </text>
    </comment>
    <comment ref="F466" authorId="0" shapeId="0">
      <text>
        <r>
          <rPr>
            <b/>
            <sz val="9"/>
            <color indexed="81"/>
            <rFont val="Tahoma"/>
            <family val="2"/>
          </rPr>
          <t>GranPc:</t>
        </r>
        <r>
          <rPr>
            <sz val="9"/>
            <color indexed="81"/>
            <rFont val="Tahoma"/>
            <family val="2"/>
          </rPr>
          <t xml:space="preserve">
SE LE COBRARON 7,487 POR 14 DIAS DE MORA</t>
        </r>
      </text>
    </comment>
    <comment ref="F469" authorId="0" shapeId="0">
      <text>
        <r>
          <rPr>
            <b/>
            <sz val="9"/>
            <color indexed="81"/>
            <rFont val="Tahoma"/>
            <family val="2"/>
          </rPr>
          <t>GranPc:</t>
        </r>
        <r>
          <rPr>
            <sz val="9"/>
            <color indexed="81"/>
            <rFont val="Tahoma"/>
            <family val="2"/>
          </rPr>
          <t xml:space="preserve">
NO SE LE COBRARON 35,162 POR 39 DIAS DE MORA X ACUERDO</t>
        </r>
      </text>
    </comment>
    <comment ref="F472" authorId="0" shapeId="0">
      <text>
        <r>
          <rPr>
            <b/>
            <sz val="9"/>
            <color indexed="81"/>
            <rFont val="Tahoma"/>
            <family val="2"/>
          </rPr>
          <t>GranPc:</t>
        </r>
        <r>
          <rPr>
            <sz val="9"/>
            <color indexed="81"/>
            <rFont val="Tahoma"/>
            <family val="2"/>
          </rPr>
          <t xml:space="preserve">
SE LE COBRARON 3,469 POR 8 DIAS DE MORA</t>
        </r>
      </text>
    </comment>
    <comment ref="F477" authorId="0" shapeId="0">
      <text>
        <r>
          <rPr>
            <b/>
            <sz val="9"/>
            <color indexed="81"/>
            <rFont val="Tahoma"/>
            <family val="2"/>
          </rPr>
          <t>GranPc:</t>
        </r>
        <r>
          <rPr>
            <sz val="9"/>
            <color indexed="81"/>
            <rFont val="Tahoma"/>
            <family val="2"/>
          </rPr>
          <t xml:space="preserve">
DCTO 132,350 POR RECOGER CAPITAL</t>
        </r>
      </text>
    </comment>
    <comment ref="F478" authorId="0" shapeId="0">
      <text>
        <r>
          <rPr>
            <b/>
            <sz val="9"/>
            <color indexed="81"/>
            <rFont val="Tahoma"/>
            <family val="2"/>
          </rPr>
          <t>GranPc:</t>
        </r>
        <r>
          <rPr>
            <sz val="9"/>
            <color indexed="81"/>
            <rFont val="Tahoma"/>
            <family val="2"/>
          </rPr>
          <t xml:space="preserve">
SE LE COBRARON 3,139 POR 10 DIAS DE MORA</t>
        </r>
      </text>
    </comment>
    <comment ref="F480" authorId="0" shapeId="0">
      <text>
        <r>
          <rPr>
            <b/>
            <sz val="9"/>
            <color indexed="81"/>
            <rFont val="Tahoma"/>
            <family val="2"/>
          </rPr>
          <t>GranPc:</t>
        </r>
        <r>
          <rPr>
            <sz val="9"/>
            <color indexed="81"/>
            <rFont val="Tahoma"/>
            <family val="2"/>
          </rPr>
          <t xml:space="preserve">
840,000 24 FEBRERO
1,000 10 ABRIL</t>
        </r>
      </text>
    </comment>
    <comment ref="G480" authorId="0" shapeId="0">
      <text>
        <r>
          <rPr>
            <b/>
            <sz val="9"/>
            <color indexed="81"/>
            <rFont val="Tahoma"/>
            <family val="2"/>
          </rPr>
          <t>GranPc:</t>
        </r>
        <r>
          <rPr>
            <sz val="9"/>
            <color indexed="81"/>
            <rFont val="Tahoma"/>
            <family val="2"/>
          </rPr>
          <t xml:space="preserve">
840,000 24 FEBRERO
1,000 10 ABRIL</t>
        </r>
      </text>
    </comment>
    <comment ref="F483" authorId="0" shapeId="0">
      <text>
        <r>
          <rPr>
            <b/>
            <sz val="9"/>
            <color indexed="81"/>
            <rFont val="Tahoma"/>
            <family val="2"/>
          </rPr>
          <t>GranPc:</t>
        </r>
        <r>
          <rPr>
            <sz val="9"/>
            <color indexed="81"/>
            <rFont val="Tahoma"/>
            <family val="2"/>
          </rPr>
          <t xml:space="preserve">
SE LE COBRARON 13,534 POR 19 DIAS DE MORA</t>
        </r>
      </text>
    </comment>
    <comment ref="F486" authorId="0" shapeId="0">
      <text>
        <r>
          <rPr>
            <b/>
            <sz val="9"/>
            <color indexed="81"/>
            <rFont val="Tahoma"/>
            <family val="2"/>
          </rPr>
          <t>GranPc:</t>
        </r>
        <r>
          <rPr>
            <sz val="9"/>
            <color indexed="81"/>
            <rFont val="Tahoma"/>
            <family val="2"/>
          </rPr>
          <t xml:space="preserve">
SE LE COBRARON 12,356 POR 28 DIAS DE MORA</t>
        </r>
      </text>
    </comment>
    <comment ref="F487" authorId="0" shapeId="0">
      <text>
        <r>
          <rPr>
            <b/>
            <sz val="9"/>
            <color indexed="81"/>
            <rFont val="Tahoma"/>
            <family val="2"/>
          </rPr>
          <t>GranPc:</t>
        </r>
        <r>
          <rPr>
            <sz val="9"/>
            <color indexed="81"/>
            <rFont val="Tahoma"/>
            <family val="2"/>
          </rPr>
          <t xml:space="preserve">
SE LE COBRARON 17,007 POR 27 DIAS DE MORA</t>
        </r>
      </text>
    </comment>
    <comment ref="F492" authorId="0" shapeId="0">
      <text>
        <r>
          <rPr>
            <b/>
            <sz val="9"/>
            <color indexed="81"/>
            <rFont val="Tahoma"/>
            <family val="2"/>
          </rPr>
          <t>GranPc:</t>
        </r>
        <r>
          <rPr>
            <sz val="9"/>
            <color indexed="81"/>
            <rFont val="Tahoma"/>
            <family val="2"/>
          </rPr>
          <t xml:space="preserve">
SE LE COBRARON 12,177 POR 14 DIAS DE MORA</t>
        </r>
      </text>
    </comment>
    <comment ref="F493" authorId="0" shapeId="0">
      <text>
        <r>
          <rPr>
            <b/>
            <sz val="9"/>
            <color indexed="81"/>
            <rFont val="Tahoma"/>
            <family val="2"/>
          </rPr>
          <t>GranPc:</t>
        </r>
        <r>
          <rPr>
            <sz val="9"/>
            <color indexed="81"/>
            <rFont val="Tahoma"/>
            <family val="2"/>
          </rPr>
          <t xml:space="preserve">
SE LE COBRARON 15,357 POR 14 DIAS DE MORA</t>
        </r>
      </text>
    </comment>
    <comment ref="F497" authorId="0" shapeId="0">
      <text>
        <r>
          <rPr>
            <b/>
            <sz val="9"/>
            <color indexed="81"/>
            <rFont val="Tahoma"/>
            <family val="2"/>
          </rPr>
          <t>GranPc:</t>
        </r>
        <r>
          <rPr>
            <sz val="9"/>
            <color indexed="81"/>
            <rFont val="Tahoma"/>
            <family val="2"/>
          </rPr>
          <t xml:space="preserve">
DCTO 267,859 POR RECOGER CAPITAL</t>
        </r>
      </text>
    </comment>
    <comment ref="F499" authorId="0" shapeId="0">
      <text>
        <r>
          <rPr>
            <b/>
            <sz val="9"/>
            <color indexed="81"/>
            <rFont val="Tahoma"/>
            <family val="2"/>
          </rPr>
          <t>GranPc:</t>
        </r>
        <r>
          <rPr>
            <sz val="9"/>
            <color indexed="81"/>
            <rFont val="Tahoma"/>
            <family val="2"/>
          </rPr>
          <t xml:space="preserve">
SE LE COBRARON 9,728 POR 9 DIAS DE MORA</t>
        </r>
      </text>
    </comment>
    <comment ref="F500" authorId="0" shapeId="0">
      <text>
        <r>
          <rPr>
            <b/>
            <sz val="9"/>
            <color indexed="81"/>
            <rFont val="Tahoma"/>
            <family val="2"/>
          </rPr>
          <t>GranPc:</t>
        </r>
        <r>
          <rPr>
            <sz val="9"/>
            <color indexed="81"/>
            <rFont val="Tahoma"/>
            <family val="2"/>
          </rPr>
          <t xml:space="preserve">
DCTO 204,907 POR RECOGER CAPITAL</t>
        </r>
      </text>
    </comment>
    <comment ref="F507" authorId="0" shapeId="0">
      <text>
        <r>
          <rPr>
            <b/>
            <sz val="9"/>
            <color indexed="81"/>
            <rFont val="Tahoma"/>
            <family val="2"/>
          </rPr>
          <t>GranPc:</t>
        </r>
        <r>
          <rPr>
            <sz val="9"/>
            <color indexed="81"/>
            <rFont val="Tahoma"/>
            <family val="2"/>
          </rPr>
          <t xml:space="preserve">
SE LE COBRARON 84,604 POR 104 DIAS DE MORA</t>
        </r>
      </text>
    </comment>
    <comment ref="F517" authorId="0" shapeId="0">
      <text>
        <r>
          <rPr>
            <b/>
            <sz val="9"/>
            <color indexed="81"/>
            <rFont val="Tahoma"/>
            <family val="2"/>
          </rPr>
          <t>GranPc:</t>
        </r>
        <r>
          <rPr>
            <sz val="9"/>
            <color indexed="81"/>
            <rFont val="Tahoma"/>
            <family val="2"/>
          </rPr>
          <t xml:space="preserve">
SE LE COBRARON 6,151 POR 10 DIAS DE MORA</t>
        </r>
      </text>
    </comment>
    <comment ref="F519" authorId="0" shapeId="0">
      <text>
        <r>
          <rPr>
            <b/>
            <sz val="9"/>
            <color indexed="81"/>
            <rFont val="Tahoma"/>
            <family val="2"/>
          </rPr>
          <t>GranPc:</t>
        </r>
        <r>
          <rPr>
            <sz val="9"/>
            <color indexed="81"/>
            <rFont val="Tahoma"/>
            <family val="2"/>
          </rPr>
          <t xml:space="preserve">
DCTO 57,022 POR RECOGER CAPITAL</t>
        </r>
      </text>
    </comment>
    <comment ref="F520" authorId="0" shapeId="0">
      <text>
        <r>
          <rPr>
            <b/>
            <sz val="9"/>
            <color indexed="81"/>
            <rFont val="Tahoma"/>
            <family val="2"/>
          </rPr>
          <t>GranPc:</t>
        </r>
        <r>
          <rPr>
            <sz val="9"/>
            <color indexed="81"/>
            <rFont val="Tahoma"/>
            <family val="2"/>
          </rPr>
          <t xml:space="preserve">
DCTO 100,621 POR RECOGER CAPITAL</t>
        </r>
      </text>
    </comment>
    <comment ref="F525" authorId="0" shapeId="0">
      <text>
        <r>
          <rPr>
            <b/>
            <sz val="9"/>
            <color indexed="81"/>
            <rFont val="Tahoma"/>
            <family val="2"/>
          </rPr>
          <t>GranPc:</t>
        </r>
        <r>
          <rPr>
            <sz val="9"/>
            <color indexed="81"/>
            <rFont val="Tahoma"/>
            <family val="2"/>
          </rPr>
          <t xml:space="preserve">
SE LE COBRARON 61,625 POR 108 DIAS DE MORA</t>
        </r>
      </text>
    </comment>
    <comment ref="F527" authorId="0" shapeId="0">
      <text>
        <r>
          <rPr>
            <b/>
            <sz val="9"/>
            <color indexed="81"/>
            <rFont val="Tahoma"/>
            <family val="2"/>
          </rPr>
          <t>GranPc:</t>
        </r>
        <r>
          <rPr>
            <sz val="9"/>
            <color indexed="81"/>
            <rFont val="Tahoma"/>
            <family val="2"/>
          </rPr>
          <t xml:space="preserve">
SE LE COBRARON 16,393 POR 21 DIAS DE MORA</t>
        </r>
      </text>
    </comment>
    <comment ref="F539" authorId="0" shapeId="0">
      <text>
        <r>
          <rPr>
            <b/>
            <sz val="9"/>
            <color indexed="81"/>
            <rFont val="Tahoma"/>
            <family val="2"/>
          </rPr>
          <t>GranPc:</t>
        </r>
        <r>
          <rPr>
            <sz val="9"/>
            <color indexed="81"/>
            <rFont val="Tahoma"/>
            <family val="2"/>
          </rPr>
          <t xml:space="preserve">
SE LE COBRARON 7,223 POR 22 DIAS DE MORA</t>
        </r>
      </text>
    </comment>
    <comment ref="F542" authorId="0" shapeId="0">
      <text>
        <r>
          <rPr>
            <b/>
            <sz val="9"/>
            <color indexed="81"/>
            <rFont val="Tahoma"/>
            <family val="2"/>
          </rPr>
          <t>GranPc:</t>
        </r>
        <r>
          <rPr>
            <sz val="9"/>
            <color indexed="81"/>
            <rFont val="Tahoma"/>
            <family val="2"/>
          </rPr>
          <t xml:space="preserve">
SE LE COBRARON 5,306 POR 8 DIAS DE MORA</t>
        </r>
      </text>
    </comment>
    <comment ref="F543" authorId="0" shapeId="0">
      <text>
        <r>
          <rPr>
            <b/>
            <sz val="9"/>
            <color indexed="81"/>
            <rFont val="Tahoma"/>
            <family val="2"/>
          </rPr>
          <t>GranPc:</t>
        </r>
        <r>
          <rPr>
            <sz val="9"/>
            <color indexed="81"/>
            <rFont val="Tahoma"/>
            <family val="2"/>
          </rPr>
          <t xml:space="preserve">
SE LE COBRARON 11,150 POR 20 DIAS DE MORA</t>
        </r>
      </text>
    </comment>
    <comment ref="F546" authorId="0" shapeId="0">
      <text>
        <r>
          <rPr>
            <b/>
            <sz val="9"/>
            <color indexed="81"/>
            <rFont val="Tahoma"/>
            <family val="2"/>
          </rPr>
          <t>GranPc:</t>
        </r>
        <r>
          <rPr>
            <sz val="9"/>
            <color indexed="81"/>
            <rFont val="Tahoma"/>
            <family val="2"/>
          </rPr>
          <t xml:space="preserve">
SE LE COBRARON 9,946 POR 11 DIAS DE MORA</t>
        </r>
      </text>
    </comment>
    <comment ref="F555" authorId="0" shapeId="0">
      <text>
        <r>
          <rPr>
            <b/>
            <sz val="9"/>
            <color indexed="81"/>
            <rFont val="Tahoma"/>
            <family val="2"/>
          </rPr>
          <t>GranPc:</t>
        </r>
        <r>
          <rPr>
            <sz val="9"/>
            <color indexed="81"/>
            <rFont val="Tahoma"/>
            <family val="2"/>
          </rPr>
          <t xml:space="preserve">
NO SE LE COBRARON 9,918 POR 11 DIAS DE MORA X ACUERDO</t>
        </r>
      </text>
    </comment>
    <comment ref="F557" authorId="0" shapeId="0">
      <text>
        <r>
          <rPr>
            <b/>
            <sz val="9"/>
            <color indexed="81"/>
            <rFont val="Tahoma"/>
            <family val="2"/>
          </rPr>
          <t>GranPc:</t>
        </r>
        <r>
          <rPr>
            <sz val="9"/>
            <color indexed="81"/>
            <rFont val="Tahoma"/>
            <family val="2"/>
          </rPr>
          <t xml:space="preserve">
SE LE COBRARON 9,973 POR 23 DIAS DE MORA</t>
        </r>
      </text>
    </comment>
    <comment ref="F564" authorId="0" shapeId="0">
      <text>
        <r>
          <rPr>
            <b/>
            <sz val="9"/>
            <color indexed="81"/>
            <rFont val="Tahoma"/>
            <family val="2"/>
          </rPr>
          <t>GranPc:</t>
        </r>
        <r>
          <rPr>
            <sz val="9"/>
            <color indexed="81"/>
            <rFont val="Tahoma"/>
            <family val="2"/>
          </rPr>
          <t xml:space="preserve">
SE LE COBRARON 14,297 POR 17 DIAS DE MORA</t>
        </r>
      </text>
    </comment>
    <comment ref="F567" authorId="0" shapeId="0">
      <text>
        <r>
          <rPr>
            <b/>
            <sz val="9"/>
            <color indexed="81"/>
            <rFont val="Tahoma"/>
            <family val="2"/>
          </rPr>
          <t>GranPc:</t>
        </r>
        <r>
          <rPr>
            <sz val="9"/>
            <color indexed="81"/>
            <rFont val="Tahoma"/>
            <family val="2"/>
          </rPr>
          <t xml:space="preserve">
SE LE COBRARON 14,246 POR 20 DIAS DE MORA</t>
        </r>
      </text>
    </comment>
    <comment ref="F571" authorId="0" shapeId="0">
      <text>
        <r>
          <rPr>
            <b/>
            <sz val="9"/>
            <color indexed="81"/>
            <rFont val="Tahoma"/>
            <family val="2"/>
          </rPr>
          <t>GranPc:</t>
        </r>
        <r>
          <rPr>
            <sz val="9"/>
            <color indexed="81"/>
            <rFont val="Tahoma"/>
            <family val="2"/>
          </rPr>
          <t xml:space="preserve">
SE LE COBRARON 25,826 POR 41 DIAS DE MORA</t>
        </r>
      </text>
    </comment>
    <comment ref="F576" authorId="0" shapeId="0">
      <text>
        <r>
          <rPr>
            <b/>
            <sz val="9"/>
            <color indexed="81"/>
            <rFont val="Tahoma"/>
            <family val="2"/>
          </rPr>
          <t>GranPc:</t>
        </r>
        <r>
          <rPr>
            <sz val="9"/>
            <color indexed="81"/>
            <rFont val="Tahoma"/>
            <family val="2"/>
          </rPr>
          <t xml:space="preserve">
SE LE COBRARON 80,022 POR 92 DIAS DE MORA</t>
        </r>
      </text>
    </comment>
    <comment ref="F581" authorId="0" shapeId="0">
      <text>
        <r>
          <rPr>
            <b/>
            <sz val="9"/>
            <color indexed="81"/>
            <rFont val="Tahoma"/>
            <family val="2"/>
          </rPr>
          <t>GranPc:</t>
        </r>
        <r>
          <rPr>
            <sz val="9"/>
            <color indexed="81"/>
            <rFont val="Tahoma"/>
            <family val="2"/>
          </rPr>
          <t xml:space="preserve">
SE LE COBRARON 11,659 POR 16 DIAS DE MORA</t>
        </r>
      </text>
    </comment>
    <comment ref="F582" authorId="0" shapeId="0">
      <text>
        <r>
          <rPr>
            <b/>
            <sz val="9"/>
            <color indexed="81"/>
            <rFont val="Tahoma"/>
            <family val="2"/>
          </rPr>
          <t>GranPc:</t>
        </r>
        <r>
          <rPr>
            <sz val="9"/>
            <color indexed="81"/>
            <rFont val="Tahoma"/>
            <family val="2"/>
          </rPr>
          <t xml:space="preserve">
DCTO 249,514 POR RECOGER CAPITAL</t>
        </r>
      </text>
    </comment>
    <comment ref="F583" authorId="0" shapeId="0">
      <text>
        <r>
          <rPr>
            <b/>
            <sz val="9"/>
            <color indexed="81"/>
            <rFont val="Tahoma"/>
            <family val="2"/>
          </rPr>
          <t>GranPc:</t>
        </r>
        <r>
          <rPr>
            <sz val="9"/>
            <color indexed="81"/>
            <rFont val="Tahoma"/>
            <family val="2"/>
          </rPr>
          <t xml:space="preserve">
DCTO 190,875 POR RECOGER CAPITAL</t>
        </r>
      </text>
    </comment>
    <comment ref="F591" authorId="0" shapeId="0">
      <text>
        <r>
          <rPr>
            <b/>
            <sz val="9"/>
            <color indexed="81"/>
            <rFont val="Tahoma"/>
            <family val="2"/>
          </rPr>
          <t>GranPc:</t>
        </r>
        <r>
          <rPr>
            <sz val="9"/>
            <color indexed="81"/>
            <rFont val="Tahoma"/>
            <family val="2"/>
          </rPr>
          <t xml:space="preserve">
SE LE COBRARON 8,275 POR 8 DIAS DE MORA</t>
        </r>
      </text>
    </comment>
    <comment ref="F593" authorId="0" shapeId="0">
      <text>
        <r>
          <rPr>
            <b/>
            <sz val="9"/>
            <color indexed="81"/>
            <rFont val="Tahoma"/>
            <family val="2"/>
          </rPr>
          <t>GranPc:</t>
        </r>
        <r>
          <rPr>
            <sz val="9"/>
            <color indexed="81"/>
            <rFont val="Tahoma"/>
            <family val="2"/>
          </rPr>
          <t xml:space="preserve">
SE LE COBRARON 74,029 POR 91 DIAS DE MORA</t>
        </r>
      </text>
    </comment>
    <comment ref="F596" authorId="0" shapeId="0">
      <text>
        <r>
          <rPr>
            <b/>
            <sz val="9"/>
            <color indexed="81"/>
            <rFont val="Tahoma"/>
            <family val="2"/>
          </rPr>
          <t>GranPc:</t>
        </r>
        <r>
          <rPr>
            <sz val="9"/>
            <color indexed="81"/>
            <rFont val="Tahoma"/>
            <family val="2"/>
          </rPr>
          <t xml:space="preserve">
SE LE COBRARON 17,895 POR 13 DIAS DE MORA</t>
        </r>
      </text>
    </comment>
    <comment ref="F603" authorId="0" shapeId="0">
      <text>
        <r>
          <rPr>
            <b/>
            <sz val="9"/>
            <color indexed="81"/>
            <rFont val="Tahoma"/>
            <family val="2"/>
          </rPr>
          <t>GranPc:</t>
        </r>
        <r>
          <rPr>
            <sz val="9"/>
            <color indexed="81"/>
            <rFont val="Tahoma"/>
            <family val="2"/>
          </rPr>
          <t xml:space="preserve">
SE LE COBRARON 9,842 POR 16 DIAS DE MORA</t>
        </r>
      </text>
    </comment>
    <comment ref="F604" authorId="0" shapeId="0">
      <text>
        <r>
          <rPr>
            <b/>
            <sz val="9"/>
            <color indexed="81"/>
            <rFont val="Tahoma"/>
            <family val="2"/>
          </rPr>
          <t>GranPc:</t>
        </r>
        <r>
          <rPr>
            <sz val="9"/>
            <color indexed="81"/>
            <rFont val="Tahoma"/>
            <family val="2"/>
          </rPr>
          <t xml:space="preserve">
DCTO 38,675 POR RECOGER CAPITAL</t>
        </r>
      </text>
    </comment>
    <comment ref="F605" authorId="0" shapeId="0">
      <text>
        <r>
          <rPr>
            <b/>
            <sz val="9"/>
            <color indexed="81"/>
            <rFont val="Tahoma"/>
            <family val="2"/>
          </rPr>
          <t>GranPc:</t>
        </r>
        <r>
          <rPr>
            <sz val="9"/>
            <color indexed="81"/>
            <rFont val="Tahoma"/>
            <family val="2"/>
          </rPr>
          <t xml:space="preserve">
DCTO 76,751 POR RECOGER CAPITAL</t>
        </r>
      </text>
    </comment>
    <comment ref="F610" authorId="0" shapeId="0">
      <text>
        <r>
          <rPr>
            <b/>
            <sz val="9"/>
            <color indexed="81"/>
            <rFont val="Tahoma"/>
            <family val="2"/>
          </rPr>
          <t>GranPc:</t>
        </r>
        <r>
          <rPr>
            <sz val="9"/>
            <color indexed="81"/>
            <rFont val="Tahoma"/>
            <family val="2"/>
          </rPr>
          <t xml:space="preserve">
SE LE COBRARON 7,025 POR 9 DIAS DE MORA</t>
        </r>
      </text>
    </comment>
    <comment ref="F618" authorId="0" shapeId="0">
      <text>
        <r>
          <rPr>
            <b/>
            <sz val="9"/>
            <color indexed="81"/>
            <rFont val="Tahoma"/>
            <family val="2"/>
          </rPr>
          <t>GranPc:</t>
        </r>
        <r>
          <rPr>
            <sz val="9"/>
            <color indexed="81"/>
            <rFont val="Tahoma"/>
            <family val="2"/>
          </rPr>
          <t xml:space="preserve">
SE LE COBRARON 3,345 POR 8 DIAS DE MORA</t>
        </r>
      </text>
    </comment>
    <comment ref="F623" authorId="0" shapeId="0">
      <text>
        <r>
          <rPr>
            <b/>
            <sz val="9"/>
            <color indexed="81"/>
            <rFont val="Tahoma"/>
            <family val="2"/>
          </rPr>
          <t>GranPc:</t>
        </r>
        <r>
          <rPr>
            <sz val="9"/>
            <color indexed="81"/>
            <rFont val="Tahoma"/>
            <family val="2"/>
          </rPr>
          <t xml:space="preserve">
SE LE COBRARON 18,385 POR 56 DIAS DE MORA</t>
        </r>
      </text>
    </comment>
    <comment ref="F626" authorId="0" shapeId="0">
      <text>
        <r>
          <rPr>
            <b/>
            <sz val="9"/>
            <color indexed="81"/>
            <rFont val="Tahoma"/>
            <family val="2"/>
          </rPr>
          <t>GranPc:</t>
        </r>
        <r>
          <rPr>
            <sz val="9"/>
            <color indexed="81"/>
            <rFont val="Tahoma"/>
            <family val="2"/>
          </rPr>
          <t xml:space="preserve">
SE LE COBRARON 6,633 POR 10 DIAS DE MORA</t>
        </r>
      </text>
    </comment>
    <comment ref="F627" authorId="0" shapeId="0">
      <text>
        <r>
          <rPr>
            <b/>
            <sz val="9"/>
            <color indexed="81"/>
            <rFont val="Tahoma"/>
            <family val="2"/>
          </rPr>
          <t>GranPc:</t>
        </r>
        <r>
          <rPr>
            <sz val="9"/>
            <color indexed="81"/>
            <rFont val="Tahoma"/>
            <family val="2"/>
          </rPr>
          <t xml:space="preserve">
SE LE COBRARON 11,150 POR 20 DIAS DE MORA</t>
        </r>
      </text>
    </comment>
    <comment ref="F630" authorId="0" shapeId="0">
      <text>
        <r>
          <rPr>
            <b/>
            <sz val="9"/>
            <color indexed="81"/>
            <rFont val="Tahoma"/>
            <family val="2"/>
          </rPr>
          <t>GranPc:</t>
        </r>
        <r>
          <rPr>
            <sz val="9"/>
            <color indexed="81"/>
            <rFont val="Tahoma"/>
            <family val="2"/>
          </rPr>
          <t xml:space="preserve">
DCTO 240,767 X RECOGER SALDO CAPITAL DESDE LA LETRA 10</t>
        </r>
      </text>
    </comment>
    <comment ref="F635" authorId="0" shapeId="0">
      <text>
        <r>
          <rPr>
            <b/>
            <sz val="9"/>
            <color indexed="81"/>
            <rFont val="Tahoma"/>
            <family val="2"/>
          </rPr>
          <t>GranPc:</t>
        </r>
        <r>
          <rPr>
            <sz val="9"/>
            <color indexed="81"/>
            <rFont val="Tahoma"/>
            <family val="2"/>
          </rPr>
          <t xml:space="preserve">
SE LE COBRARON 2,542 POR 8 DIAS DE MORA</t>
        </r>
      </text>
    </comment>
    <comment ref="F637" authorId="0" shapeId="0">
      <text>
        <r>
          <rPr>
            <b/>
            <sz val="9"/>
            <color indexed="81"/>
            <rFont val="Tahoma"/>
            <family val="2"/>
          </rPr>
          <t>GranPc:</t>
        </r>
        <r>
          <rPr>
            <sz val="9"/>
            <color indexed="81"/>
            <rFont val="Tahoma"/>
            <family val="2"/>
          </rPr>
          <t xml:space="preserve">
DCTO 86,651 X RECOGER SALDO CAPITAL DESDE LA LETRA 10</t>
        </r>
      </text>
    </comment>
    <comment ref="F638" authorId="0" shapeId="0">
      <text>
        <r>
          <rPr>
            <b/>
            <sz val="9"/>
            <color indexed="81"/>
            <rFont val="Tahoma"/>
            <family val="2"/>
          </rPr>
          <t>GranPc:</t>
        </r>
        <r>
          <rPr>
            <sz val="9"/>
            <color indexed="81"/>
            <rFont val="Tahoma"/>
            <family val="2"/>
          </rPr>
          <t xml:space="preserve">
DCTO 88,405 X RECOGER SALDO CAPITAL DESDE LA LETRA 6</t>
        </r>
      </text>
    </comment>
    <comment ref="F642" authorId="0" shapeId="0">
      <text>
        <r>
          <rPr>
            <b/>
            <sz val="9"/>
            <color indexed="81"/>
            <rFont val="Tahoma"/>
            <family val="2"/>
          </rPr>
          <t>GranPc:</t>
        </r>
        <r>
          <rPr>
            <sz val="9"/>
            <color indexed="81"/>
            <rFont val="Tahoma"/>
            <family val="2"/>
          </rPr>
          <t xml:space="preserve">
SE LE COBRARON 5,336 POR 17 DIAS DE MORA</t>
        </r>
      </text>
    </comment>
    <comment ref="F644" authorId="0" shapeId="0">
      <text>
        <r>
          <rPr>
            <b/>
            <sz val="9"/>
            <color indexed="81"/>
            <rFont val="Tahoma"/>
            <family val="2"/>
          </rPr>
          <t>GranPc:</t>
        </r>
        <r>
          <rPr>
            <sz val="9"/>
            <color indexed="81"/>
            <rFont val="Tahoma"/>
            <family val="2"/>
          </rPr>
          <t xml:space="preserve">
SE LE COBRARON 12,615 POR 15 DIAS DE MORA</t>
        </r>
      </text>
    </comment>
    <comment ref="F647" authorId="0" shapeId="0">
      <text>
        <r>
          <rPr>
            <b/>
            <sz val="9"/>
            <color indexed="81"/>
            <rFont val="Tahoma"/>
            <family val="2"/>
          </rPr>
          <t>GranPc:</t>
        </r>
        <r>
          <rPr>
            <sz val="9"/>
            <color indexed="81"/>
            <rFont val="Tahoma"/>
            <family val="2"/>
          </rPr>
          <t xml:space="preserve">
SE LE COBRARON 12,821 POR 18 DIAS DE MORA</t>
        </r>
      </text>
    </comment>
    <comment ref="F652" authorId="0" shapeId="0">
      <text>
        <r>
          <rPr>
            <b/>
            <sz val="9"/>
            <color indexed="81"/>
            <rFont val="Tahoma"/>
            <family val="2"/>
          </rPr>
          <t>GranPc:</t>
        </r>
        <r>
          <rPr>
            <sz val="9"/>
            <color indexed="81"/>
            <rFont val="Tahoma"/>
            <family val="2"/>
          </rPr>
          <t xml:space="preserve">
SE LE COBRARON 6,299 POR 10 DIAS DE MORA</t>
        </r>
      </text>
    </comment>
    <comment ref="F658" authorId="0" shapeId="0">
      <text>
        <r>
          <rPr>
            <b/>
            <sz val="9"/>
            <color indexed="81"/>
            <rFont val="Tahoma"/>
            <family val="2"/>
          </rPr>
          <t>GranPc:</t>
        </r>
        <r>
          <rPr>
            <sz val="9"/>
            <color indexed="81"/>
            <rFont val="Tahoma"/>
            <family val="2"/>
          </rPr>
          <t xml:space="preserve">
SE LE COBRARON 53,058 POR 61 DIAS DE MORA</t>
        </r>
      </text>
    </comment>
    <comment ref="F662" authorId="0" shapeId="0">
      <text>
        <r>
          <rPr>
            <b/>
            <sz val="9"/>
            <color indexed="81"/>
            <rFont val="Tahoma"/>
            <family val="2"/>
          </rPr>
          <t>GranPc:</t>
        </r>
        <r>
          <rPr>
            <sz val="9"/>
            <color indexed="81"/>
            <rFont val="Tahoma"/>
            <family val="2"/>
          </rPr>
          <t xml:space="preserve">
SE LE COBRARON 6,558 POR 9 DIAS DE MORA</t>
        </r>
      </text>
    </comment>
    <comment ref="F663" authorId="0" shapeId="0">
      <text>
        <r>
          <rPr>
            <b/>
            <sz val="9"/>
            <color indexed="81"/>
            <rFont val="Tahoma"/>
            <family val="2"/>
          </rPr>
          <t>GranPc:</t>
        </r>
        <r>
          <rPr>
            <sz val="9"/>
            <color indexed="81"/>
            <rFont val="Tahoma"/>
            <family val="2"/>
          </rPr>
          <t xml:space="preserve">
DCTO 230,527 POR RECOGER CAPITAL</t>
        </r>
      </text>
    </comment>
    <comment ref="F664" authorId="0" shapeId="0">
      <text>
        <r>
          <rPr>
            <b/>
            <sz val="9"/>
            <color indexed="81"/>
            <rFont val="Tahoma"/>
            <family val="2"/>
          </rPr>
          <t>GranPc:</t>
        </r>
        <r>
          <rPr>
            <sz val="9"/>
            <color indexed="81"/>
            <rFont val="Tahoma"/>
            <family val="2"/>
          </rPr>
          <t xml:space="preserve">
DCTO 176,353 POR RECOGER CAPITAL</t>
        </r>
      </text>
    </comment>
    <comment ref="F681" authorId="0" shapeId="0">
      <text>
        <r>
          <rPr>
            <b/>
            <sz val="9"/>
            <color indexed="81"/>
            <rFont val="Tahoma"/>
            <family val="2"/>
          </rPr>
          <t>GranPc:</t>
        </r>
        <r>
          <rPr>
            <sz val="9"/>
            <color indexed="81"/>
            <rFont val="Tahoma"/>
            <family val="2"/>
          </rPr>
          <t xml:space="preserve">
SE LE DESCONTARON 91,479 DE INTERESES X RECOGER ANTES DE TIEMPO</t>
        </r>
      </text>
    </comment>
    <comment ref="F688" authorId="0" shapeId="0">
      <text>
        <r>
          <rPr>
            <b/>
            <sz val="9"/>
            <color indexed="81"/>
            <rFont val="Tahoma"/>
            <family val="2"/>
          </rPr>
          <t>GranPc:</t>
        </r>
        <r>
          <rPr>
            <sz val="9"/>
            <color indexed="81"/>
            <rFont val="Tahoma"/>
            <family val="2"/>
          </rPr>
          <t xml:space="preserve">
DCTO 19,687 POR RECOGER CAPITAL</t>
        </r>
      </text>
    </comment>
    <comment ref="F689" authorId="0" shapeId="0">
      <text>
        <r>
          <rPr>
            <b/>
            <sz val="9"/>
            <color indexed="81"/>
            <rFont val="Tahoma"/>
            <family val="2"/>
          </rPr>
          <t>GranPc:</t>
        </r>
        <r>
          <rPr>
            <sz val="9"/>
            <color indexed="81"/>
            <rFont val="Tahoma"/>
            <family val="2"/>
          </rPr>
          <t xml:space="preserve">
DCTO 52,047 POR RECOGER CAPITAL</t>
        </r>
      </text>
    </comment>
    <comment ref="F696" authorId="0" shapeId="0">
      <text>
        <r>
          <rPr>
            <b/>
            <sz val="9"/>
            <color indexed="81"/>
            <rFont val="Tahoma"/>
            <family val="2"/>
          </rPr>
          <t>GranPc:</t>
        </r>
        <r>
          <rPr>
            <sz val="9"/>
            <color indexed="81"/>
            <rFont val="Tahoma"/>
            <family val="2"/>
          </rPr>
          <t xml:space="preserve">
SE LE COBRARON 10,928 POR 14 DIAS DE MORA</t>
        </r>
      </text>
    </comment>
    <comment ref="F697" authorId="0" shapeId="0">
      <text>
        <r>
          <rPr>
            <b/>
            <sz val="9"/>
            <color indexed="81"/>
            <rFont val="Tahoma"/>
            <family val="2"/>
          </rPr>
          <t>GranPc:</t>
        </r>
        <r>
          <rPr>
            <sz val="9"/>
            <color indexed="81"/>
            <rFont val="Tahoma"/>
            <family val="2"/>
          </rPr>
          <t xml:space="preserve">
SE LE COBRARON 3,160 POR 11 DIAS DE MORA</t>
        </r>
      </text>
    </comment>
    <comment ref="F704" authorId="0" shapeId="0">
      <text>
        <r>
          <rPr>
            <b/>
            <sz val="9"/>
            <color indexed="81"/>
            <rFont val="Tahoma"/>
            <family val="2"/>
          </rPr>
          <t>GranPc:</t>
        </r>
        <r>
          <rPr>
            <sz val="9"/>
            <color indexed="81"/>
            <rFont val="Tahoma"/>
            <family val="2"/>
          </rPr>
          <t xml:space="preserve">
SE LE COBRARON 3,345 POR 8 DIAS DE MORA</t>
        </r>
      </text>
    </comment>
    <comment ref="F709" authorId="0" shapeId="0">
      <text>
        <r>
          <rPr>
            <b/>
            <sz val="9"/>
            <color indexed="81"/>
            <rFont val="Tahoma"/>
            <family val="2"/>
          </rPr>
          <t>GranPc:</t>
        </r>
        <r>
          <rPr>
            <sz val="9"/>
            <color indexed="81"/>
            <rFont val="Tahoma"/>
            <family val="2"/>
          </rPr>
          <t xml:space="preserve">
NO LE COBRE INTERESES X MORA PORQUE YO TAMPOCO LE HABIA LIQUIDADO LAS COMISIONES X VENTAS</t>
        </r>
      </text>
    </comment>
    <comment ref="F714" authorId="0" shapeId="0">
      <text>
        <r>
          <rPr>
            <b/>
            <sz val="9"/>
            <color indexed="81"/>
            <rFont val="Tahoma"/>
            <family val="2"/>
          </rPr>
          <t>GranPc:</t>
        </r>
        <r>
          <rPr>
            <sz val="9"/>
            <color indexed="81"/>
            <rFont val="Tahoma"/>
            <family val="2"/>
          </rPr>
          <t xml:space="preserve">
SE LE COBRARON 6,633 POR 10 DIAS DE MORA</t>
        </r>
      </text>
    </comment>
    <comment ref="F715" authorId="0" shapeId="0">
      <text>
        <r>
          <rPr>
            <b/>
            <sz val="9"/>
            <color indexed="81"/>
            <rFont val="Tahoma"/>
            <family val="2"/>
          </rPr>
          <t>GranPc:</t>
        </r>
        <r>
          <rPr>
            <sz val="9"/>
            <color indexed="81"/>
            <rFont val="Tahoma"/>
            <family val="2"/>
          </rPr>
          <t xml:space="preserve">
SE LE COBRARON 16,168 POR 29 DIAS DE MORA</t>
        </r>
      </text>
    </comment>
    <comment ref="F718" authorId="0" shapeId="0">
      <text>
        <r>
          <rPr>
            <b/>
            <sz val="9"/>
            <color indexed="81"/>
            <rFont val="Tahoma"/>
            <family val="2"/>
          </rPr>
          <t>GranPc:</t>
        </r>
        <r>
          <rPr>
            <sz val="9"/>
            <color indexed="81"/>
            <rFont val="Tahoma"/>
            <family val="2"/>
          </rPr>
          <t xml:space="preserve">
DCTO 217,546 X RECOGER SALDO CAPITAL DESDE LA LETRA 10</t>
        </r>
      </text>
    </comment>
    <comment ref="F725" authorId="0" shapeId="0">
      <text>
        <r>
          <rPr>
            <b/>
            <sz val="9"/>
            <color indexed="81"/>
            <rFont val="Tahoma"/>
            <family val="2"/>
          </rPr>
          <t>GranPc:</t>
        </r>
        <r>
          <rPr>
            <sz val="9"/>
            <color indexed="81"/>
            <rFont val="Tahoma"/>
            <family val="2"/>
          </rPr>
          <t xml:space="preserve">
DCTO 78,298 X RECOGER SALDO CAPITAL DESDE LA LETRA 10</t>
        </r>
      </text>
    </comment>
    <comment ref="F726" authorId="0" shapeId="0">
      <text>
        <r>
          <rPr>
            <b/>
            <sz val="9"/>
            <color indexed="81"/>
            <rFont val="Tahoma"/>
            <family val="2"/>
          </rPr>
          <t>GranPc:</t>
        </r>
        <r>
          <rPr>
            <sz val="9"/>
            <color indexed="81"/>
            <rFont val="Tahoma"/>
            <family val="2"/>
          </rPr>
          <t xml:space="preserve">
DCTO 59,943 X RECOGER SALDO CAPITAL DESDE LA LETRA 6</t>
        </r>
      </text>
    </comment>
    <comment ref="F732" authorId="0" shapeId="0">
      <text>
        <r>
          <rPr>
            <b/>
            <sz val="9"/>
            <color indexed="81"/>
            <rFont val="Tahoma"/>
            <family val="2"/>
          </rPr>
          <t>GranPc:</t>
        </r>
        <r>
          <rPr>
            <sz val="9"/>
            <color indexed="81"/>
            <rFont val="Tahoma"/>
            <family val="2"/>
          </rPr>
          <t xml:space="preserve">
SE LE COBRARON 5,022 POR 16 DIAS DE MORA</t>
        </r>
      </text>
    </comment>
    <comment ref="F736" authorId="0" shapeId="0">
      <text>
        <r>
          <rPr>
            <b/>
            <sz val="9"/>
            <color indexed="81"/>
            <rFont val="Tahoma"/>
            <family val="2"/>
          </rPr>
          <t>GranPc:</t>
        </r>
        <r>
          <rPr>
            <sz val="9"/>
            <color indexed="81"/>
            <rFont val="Tahoma"/>
            <family val="2"/>
          </rPr>
          <t xml:space="preserve">
SE LE COBRARON 20,657 POR 29 DIAS DE MORA</t>
        </r>
      </text>
    </comment>
    <comment ref="F752" authorId="0" shapeId="0">
      <text>
        <r>
          <rPr>
            <b/>
            <sz val="9"/>
            <color indexed="81"/>
            <rFont val="Tahoma"/>
            <family val="2"/>
          </rPr>
          <t>GranPc:</t>
        </r>
        <r>
          <rPr>
            <sz val="9"/>
            <color indexed="81"/>
            <rFont val="Tahoma"/>
            <family val="2"/>
          </rPr>
          <t xml:space="preserve">
DCTO 210,875 POR RECOGER CAPITAL</t>
        </r>
      </text>
    </comment>
    <comment ref="F753" authorId="0" shapeId="0">
      <text>
        <r>
          <rPr>
            <b/>
            <sz val="9"/>
            <color indexed="81"/>
            <rFont val="Tahoma"/>
            <family val="2"/>
          </rPr>
          <t>GranPc:</t>
        </r>
        <r>
          <rPr>
            <sz val="9"/>
            <color indexed="81"/>
            <rFont val="Tahoma"/>
            <family val="2"/>
          </rPr>
          <t xml:space="preserve">
DCTO 161,322 POR RECOGER CAPITAL</t>
        </r>
      </text>
    </comment>
    <comment ref="G768" authorId="0" shapeId="0">
      <text>
        <r>
          <rPr>
            <b/>
            <sz val="9"/>
            <color indexed="81"/>
            <rFont val="Tahoma"/>
            <family val="2"/>
          </rPr>
          <t>GranPc:</t>
        </r>
        <r>
          <rPr>
            <sz val="9"/>
            <color indexed="81"/>
            <rFont val="Tahoma"/>
            <family val="2"/>
          </rPr>
          <t xml:space="preserve">
ABONO 1,000,000 26 MAYO
SALDO 617,200 01 JUNIO</t>
        </r>
      </text>
    </comment>
    <comment ref="F771" authorId="0" shapeId="0">
      <text>
        <r>
          <rPr>
            <b/>
            <sz val="9"/>
            <color indexed="81"/>
            <rFont val="Tahoma"/>
            <family val="2"/>
          </rPr>
          <t>GranPc:</t>
        </r>
        <r>
          <rPr>
            <sz val="9"/>
            <color indexed="81"/>
            <rFont val="Tahoma"/>
            <family val="2"/>
          </rPr>
          <t xml:space="preserve">
SE LE DESCONTARON 46,504 DE INTERESES X RECOGER ANTES DE TIEMPO</t>
        </r>
      </text>
    </comment>
    <comment ref="F774" authorId="0" shapeId="0">
      <text>
        <r>
          <rPr>
            <b/>
            <sz val="9"/>
            <color indexed="81"/>
            <rFont val="Tahoma"/>
            <family val="2"/>
          </rPr>
          <t>GranPc:</t>
        </r>
        <r>
          <rPr>
            <sz val="9"/>
            <color indexed="81"/>
            <rFont val="Tahoma"/>
            <family val="2"/>
          </rPr>
          <t xml:space="preserve">
SE LE COBRARON 4,193 POR 10 DIAS DE MORA</t>
        </r>
      </text>
    </comment>
    <comment ref="F775" authorId="0" shapeId="0">
      <text>
        <r>
          <rPr>
            <b/>
            <sz val="9"/>
            <color indexed="81"/>
            <rFont val="Tahoma"/>
            <family val="2"/>
          </rPr>
          <t>GranPc:</t>
        </r>
        <r>
          <rPr>
            <sz val="9"/>
            <color indexed="81"/>
            <rFont val="Tahoma"/>
            <family val="2"/>
          </rPr>
          <t xml:space="preserve">
SE DESCONTARON 3,600 PORQUE LE COBRARON C/LETRA A 1,360,000
600 X 6 = 3,600</t>
        </r>
      </text>
    </comment>
    <comment ref="F778" authorId="0" shapeId="0">
      <text>
        <r>
          <rPr>
            <b/>
            <sz val="9"/>
            <color indexed="81"/>
            <rFont val="Tahoma"/>
            <family val="2"/>
          </rPr>
          <t>GranPc:</t>
        </r>
        <r>
          <rPr>
            <sz val="9"/>
            <color indexed="81"/>
            <rFont val="Tahoma"/>
            <family val="2"/>
          </rPr>
          <t xml:space="preserve">
DCTO 26,477 POR RECOGER CAPITAL</t>
        </r>
      </text>
    </comment>
    <comment ref="F783" authorId="0" shapeId="0">
      <text>
        <r>
          <rPr>
            <b/>
            <sz val="9"/>
            <color indexed="81"/>
            <rFont val="Tahoma"/>
            <family val="2"/>
          </rPr>
          <t>GranPc:</t>
        </r>
        <r>
          <rPr>
            <sz val="9"/>
            <color indexed="81"/>
            <rFont val="Tahoma"/>
            <family val="2"/>
          </rPr>
          <t xml:space="preserve">
SE LE COBRARON 21,041 POR 27 DIAS DE MORA</t>
        </r>
      </text>
    </comment>
    <comment ref="F784" authorId="0" shapeId="0">
      <text>
        <r>
          <rPr>
            <b/>
            <sz val="9"/>
            <color indexed="81"/>
            <rFont val="Tahoma"/>
            <family val="2"/>
          </rPr>
          <t>GranPc:</t>
        </r>
        <r>
          <rPr>
            <sz val="9"/>
            <color indexed="81"/>
            <rFont val="Tahoma"/>
            <family val="2"/>
          </rPr>
          <t xml:space="preserve">
SE LE COBRARON 3,874 POR 13 DIAS DE MORA</t>
        </r>
      </text>
    </comment>
    <comment ref="F789" authorId="0" shapeId="0">
      <text>
        <r>
          <rPr>
            <b/>
            <sz val="9"/>
            <color indexed="81"/>
            <rFont val="Tahoma"/>
            <family val="2"/>
          </rPr>
          <t>GranPc:</t>
        </r>
        <r>
          <rPr>
            <sz val="9"/>
            <color indexed="81"/>
            <rFont val="Tahoma"/>
            <family val="2"/>
          </rPr>
          <t xml:space="preserve">
SE LE COBRARON 14,051 POR 18 DIAS DE MORA</t>
        </r>
      </text>
    </comment>
    <comment ref="F797" authorId="0" shapeId="0">
      <text>
        <r>
          <rPr>
            <b/>
            <sz val="9"/>
            <color indexed="81"/>
            <rFont val="Tahoma"/>
            <family val="2"/>
          </rPr>
          <t>GranPc:</t>
        </r>
        <r>
          <rPr>
            <sz val="9"/>
            <color indexed="81"/>
            <rFont val="Tahoma"/>
            <family val="2"/>
          </rPr>
          <t xml:space="preserve">
SE LE COBRARON 11,235 POR 11 DIAS DE MORA</t>
        </r>
      </text>
    </comment>
    <comment ref="G797" authorId="0" shapeId="0">
      <text>
        <r>
          <rPr>
            <b/>
            <sz val="9"/>
            <color indexed="81"/>
            <rFont val="Tahoma"/>
            <family val="2"/>
          </rPr>
          <t>GranPc:</t>
        </r>
        <r>
          <rPr>
            <sz val="9"/>
            <color indexed="81"/>
            <rFont val="Tahoma"/>
            <family val="2"/>
          </rPr>
          <t xml:space="preserve">
1,021,400 22 JUNIO
11,235 24 JUNIO</t>
        </r>
      </text>
    </comment>
    <comment ref="F799" authorId="0" shapeId="0">
      <text>
        <r>
          <rPr>
            <b/>
            <sz val="9"/>
            <color indexed="81"/>
            <rFont val="Tahoma"/>
            <family val="2"/>
          </rPr>
          <t>GranPc:</t>
        </r>
        <r>
          <rPr>
            <sz val="9"/>
            <color indexed="81"/>
            <rFont val="Tahoma"/>
            <family val="2"/>
          </rPr>
          <t xml:space="preserve">
SE LE COBRARON 7,727 POR 8 DIAS DE MORA</t>
        </r>
      </text>
    </comment>
    <comment ref="F803" authorId="0" shapeId="0">
      <text>
        <r>
          <rPr>
            <b/>
            <sz val="9"/>
            <color indexed="81"/>
            <rFont val="Tahoma"/>
            <family val="2"/>
          </rPr>
          <t>GranPc:</t>
        </r>
        <r>
          <rPr>
            <sz val="9"/>
            <color indexed="81"/>
            <rFont val="Tahoma"/>
            <family val="2"/>
          </rPr>
          <t xml:space="preserve">
NO LE COBRE INTERESES X MORA PORQUE YO TAMPOCO LE HABIA LIQUIDADO LAS COMISIONES X VENTAS</t>
        </r>
      </text>
    </comment>
    <comment ref="F808" authorId="0" shapeId="0">
      <text>
        <r>
          <rPr>
            <b/>
            <sz val="9"/>
            <color indexed="81"/>
            <rFont val="Tahoma"/>
            <family val="2"/>
          </rPr>
          <t>GranPc:</t>
        </r>
        <r>
          <rPr>
            <sz val="9"/>
            <color indexed="81"/>
            <rFont val="Tahoma"/>
            <family val="2"/>
          </rPr>
          <t xml:space="preserve">
SE LE COBRARON 5,306 POR 8 DIAS DE MORA</t>
        </r>
      </text>
    </comment>
    <comment ref="F812" authorId="0" shapeId="0">
      <text>
        <r>
          <rPr>
            <b/>
            <sz val="9"/>
            <color indexed="81"/>
            <rFont val="Tahoma"/>
            <family val="2"/>
          </rPr>
          <t>GranPc:</t>
        </r>
        <r>
          <rPr>
            <sz val="9"/>
            <color indexed="81"/>
            <rFont val="Tahoma"/>
            <family val="2"/>
          </rPr>
          <t xml:space="preserve">
DCTO 193,514 X RECOGER SALDO CAPITAL DESDE LA LETRA 10</t>
        </r>
      </text>
    </comment>
    <comment ref="F817" authorId="0" shapeId="0">
      <text>
        <r>
          <rPr>
            <b/>
            <sz val="9"/>
            <color indexed="81"/>
            <rFont val="Tahoma"/>
            <family val="2"/>
          </rPr>
          <t>GranPc:</t>
        </r>
        <r>
          <rPr>
            <sz val="9"/>
            <color indexed="81"/>
            <rFont val="Tahoma"/>
            <family val="2"/>
          </rPr>
          <t xml:space="preserve">
SE LE COBRARON 2,859 POR 9 DIAS DE MORA</t>
        </r>
      </text>
    </comment>
    <comment ref="F819" authorId="0" shapeId="0">
      <text>
        <r>
          <rPr>
            <b/>
            <sz val="9"/>
            <color indexed="81"/>
            <rFont val="Tahoma"/>
            <family val="2"/>
          </rPr>
          <t>GranPc:</t>
        </r>
        <r>
          <rPr>
            <sz val="9"/>
            <color indexed="81"/>
            <rFont val="Tahoma"/>
            <family val="2"/>
          </rPr>
          <t xml:space="preserve">
DCTO 69,653 X RECOGER SALDO CAPITAL DESDE LA LETRA 10</t>
        </r>
      </text>
    </comment>
    <comment ref="F820" authorId="0" shapeId="0">
      <text>
        <r>
          <rPr>
            <b/>
            <sz val="9"/>
            <color indexed="81"/>
            <rFont val="Tahoma"/>
            <family val="2"/>
          </rPr>
          <t>GranPc:</t>
        </r>
        <r>
          <rPr>
            <sz val="9"/>
            <color indexed="81"/>
            <rFont val="Tahoma"/>
            <family val="2"/>
          </rPr>
          <t xml:space="preserve">
DCTO 30,485 X RECOGER SALDO CAPITAL DESDE LA LETRA 6</t>
        </r>
      </text>
    </comment>
    <comment ref="F851" authorId="0" shapeId="0">
      <text>
        <r>
          <rPr>
            <b/>
            <sz val="9"/>
            <color indexed="81"/>
            <rFont val="Tahoma"/>
            <family val="2"/>
          </rPr>
          <t>GranPc:</t>
        </r>
        <r>
          <rPr>
            <sz val="9"/>
            <color indexed="81"/>
            <rFont val="Tahoma"/>
            <family val="2"/>
          </rPr>
          <t xml:space="preserve">
DCTO 190,536 POR RECOGER CAPITAL</t>
        </r>
      </text>
    </comment>
    <comment ref="F852" authorId="0" shapeId="0">
      <text>
        <r>
          <rPr>
            <b/>
            <sz val="9"/>
            <color indexed="81"/>
            <rFont val="Tahoma"/>
            <family val="2"/>
          </rPr>
          <t>GranPc:</t>
        </r>
        <r>
          <rPr>
            <sz val="9"/>
            <color indexed="81"/>
            <rFont val="Tahoma"/>
            <family val="2"/>
          </rPr>
          <t xml:space="preserve">
DCTO 145,766 POR RECOGER CAPITAL</t>
        </r>
      </text>
    </comment>
    <comment ref="F856" authorId="0" shapeId="0">
      <text>
        <r>
          <rPr>
            <b/>
            <sz val="9"/>
            <color indexed="81"/>
            <rFont val="Tahoma"/>
            <family val="2"/>
          </rPr>
          <t>GranPc:</t>
        </r>
        <r>
          <rPr>
            <sz val="9"/>
            <color indexed="81"/>
            <rFont val="Tahoma"/>
            <family val="2"/>
          </rPr>
          <t xml:space="preserve">
SE LE COBRARON 15,133 POR 14 DIAS DE MORA</t>
        </r>
      </text>
    </comment>
    <comment ref="F874" authorId="0" shapeId="0">
      <text>
        <r>
          <rPr>
            <b/>
            <sz val="9"/>
            <color indexed="81"/>
            <rFont val="Tahoma"/>
            <family val="2"/>
          </rPr>
          <t>GranPc:</t>
        </r>
        <r>
          <rPr>
            <sz val="9"/>
            <color indexed="81"/>
            <rFont val="Tahoma"/>
            <family val="2"/>
          </rPr>
          <t xml:space="preserve">
SE LE COBRARON 6,151 POR 10 DIAS DE MORA</t>
        </r>
      </text>
    </comment>
    <comment ref="G883" authorId="0" shapeId="0">
      <text>
        <r>
          <rPr>
            <b/>
            <sz val="9"/>
            <color indexed="81"/>
            <rFont val="Tahoma"/>
            <family val="2"/>
          </rPr>
          <t>GranPc:</t>
        </r>
        <r>
          <rPr>
            <sz val="9"/>
            <color indexed="81"/>
            <rFont val="Tahoma"/>
            <family val="2"/>
          </rPr>
          <t xml:space="preserve">
85,300 06 JUNIO
529,400 07 JULIO</t>
        </r>
      </text>
    </comment>
    <comment ref="F884" authorId="0" shapeId="0">
      <text>
        <r>
          <rPr>
            <b/>
            <sz val="9"/>
            <color indexed="81"/>
            <rFont val="Tahoma"/>
            <family val="2"/>
          </rPr>
          <t>GranPc:</t>
        </r>
        <r>
          <rPr>
            <sz val="9"/>
            <color indexed="81"/>
            <rFont val="Tahoma"/>
            <family val="2"/>
          </rPr>
          <t xml:space="preserve">
LE DCTARON 227,230 X RECOGER SALDO CAPITAL DESDE LA CUOTA 7</t>
        </r>
      </text>
    </comment>
    <comment ref="F906" authorId="0" shapeId="0">
      <text>
        <r>
          <rPr>
            <b/>
            <sz val="9"/>
            <color indexed="81"/>
            <rFont val="Tahoma"/>
            <family val="2"/>
          </rPr>
          <t>GranPc:</t>
        </r>
        <r>
          <rPr>
            <sz val="9"/>
            <color indexed="81"/>
            <rFont val="Tahoma"/>
            <family val="2"/>
          </rPr>
          <t xml:space="preserve">
DCTO 168,640 X RECOGER SALDO CAPITAL DESDE LA LETRA 10</t>
        </r>
      </text>
    </comment>
    <comment ref="F913" authorId="0" shapeId="0">
      <text>
        <r>
          <rPr>
            <b/>
            <sz val="9"/>
            <color indexed="81"/>
            <rFont val="Tahoma"/>
            <family val="2"/>
          </rPr>
          <t>GranPc:</t>
        </r>
        <r>
          <rPr>
            <sz val="9"/>
            <color indexed="81"/>
            <rFont val="Tahoma"/>
            <family val="2"/>
          </rPr>
          <t xml:space="preserve">
DCTO 60,705 X RECOGER SALDO CAPITAL DESDE LA LETRA 10</t>
        </r>
      </text>
    </comment>
    <comment ref="F942" authorId="0" shapeId="0">
      <text>
        <r>
          <rPr>
            <b/>
            <sz val="9"/>
            <color indexed="81"/>
            <rFont val="Tahoma"/>
            <family val="2"/>
          </rPr>
          <t>GranPc:</t>
        </r>
        <r>
          <rPr>
            <sz val="9"/>
            <color indexed="81"/>
            <rFont val="Tahoma"/>
            <family val="2"/>
          </rPr>
          <t xml:space="preserve">
DCTO 169,485 POR RECOGER CAPITAL</t>
        </r>
      </text>
    </comment>
    <comment ref="F943" authorId="0" shapeId="0">
      <text>
        <r>
          <rPr>
            <b/>
            <sz val="9"/>
            <color indexed="81"/>
            <rFont val="Tahoma"/>
            <family val="2"/>
          </rPr>
          <t>GranPc:</t>
        </r>
        <r>
          <rPr>
            <sz val="9"/>
            <color indexed="81"/>
            <rFont val="Tahoma"/>
            <family val="2"/>
          </rPr>
          <t xml:space="preserve">
DCTO 129,664 POR RECOGER CAPITAL</t>
        </r>
      </text>
    </comment>
    <comment ref="F976" authorId="0" shapeId="0">
      <text>
        <r>
          <rPr>
            <b/>
            <sz val="9"/>
            <color indexed="81"/>
            <rFont val="Tahoma"/>
            <family val="2"/>
          </rPr>
          <t>GranPc:</t>
        </r>
        <r>
          <rPr>
            <sz val="9"/>
            <color indexed="81"/>
            <rFont val="Tahoma"/>
            <family val="2"/>
          </rPr>
          <t xml:space="preserve">
LE DCTARON 192,536 X RECOGER SALDO CAPITAL DESDE LA CUOTA 7</t>
        </r>
      </text>
    </comment>
    <comment ref="F997" authorId="0" shapeId="0">
      <text>
        <r>
          <rPr>
            <b/>
            <sz val="9"/>
            <color indexed="81"/>
            <rFont val="Tahoma"/>
            <family val="2"/>
          </rPr>
          <t>GranPc:</t>
        </r>
        <r>
          <rPr>
            <sz val="9"/>
            <color indexed="81"/>
            <rFont val="Tahoma"/>
            <family val="2"/>
          </rPr>
          <t xml:space="preserve">
DCTO 142,895 X RECOGER SALDO CAPITAL DESDE LA LETRA 10</t>
        </r>
      </text>
    </comment>
    <comment ref="F1003" authorId="0" shapeId="0">
      <text>
        <r>
          <rPr>
            <b/>
            <sz val="9"/>
            <color indexed="81"/>
            <rFont val="Tahoma"/>
            <family val="2"/>
          </rPr>
          <t>GranPc:</t>
        </r>
        <r>
          <rPr>
            <sz val="9"/>
            <color indexed="81"/>
            <rFont val="Tahoma"/>
            <family val="2"/>
          </rPr>
          <t xml:space="preserve">
DCTO 51,445 X RECOGER SALDO CAPITAL DESDE LA LETRA 10</t>
        </r>
      </text>
    </comment>
    <comment ref="F1032" authorId="0" shapeId="0">
      <text>
        <r>
          <rPr>
            <b/>
            <sz val="9"/>
            <color indexed="81"/>
            <rFont val="Tahoma"/>
            <family val="2"/>
          </rPr>
          <t>GranPc:</t>
        </r>
        <r>
          <rPr>
            <sz val="9"/>
            <color indexed="81"/>
            <rFont val="Tahoma"/>
            <family val="2"/>
          </rPr>
          <t xml:space="preserve">
DCTO 147,697 POR RECOGER CAPITAL</t>
        </r>
      </text>
    </comment>
    <comment ref="F1033" authorId="0" shapeId="0">
      <text>
        <r>
          <rPr>
            <b/>
            <sz val="9"/>
            <color indexed="81"/>
            <rFont val="Tahoma"/>
            <family val="2"/>
          </rPr>
          <t>GranPc:</t>
        </r>
        <r>
          <rPr>
            <sz val="9"/>
            <color indexed="81"/>
            <rFont val="Tahoma"/>
            <family val="2"/>
          </rPr>
          <t xml:space="preserve">
DCTO 113,000 POR RECOGER CAPITAL</t>
        </r>
      </text>
    </comment>
    <comment ref="F1063" authorId="0" shapeId="0">
      <text>
        <r>
          <rPr>
            <b/>
            <sz val="9"/>
            <color indexed="81"/>
            <rFont val="Tahoma"/>
            <family val="2"/>
          </rPr>
          <t>GranPc:</t>
        </r>
        <r>
          <rPr>
            <sz val="9"/>
            <color indexed="81"/>
            <rFont val="Tahoma"/>
            <family val="2"/>
          </rPr>
          <t xml:space="preserve">
LE DCTARON 156,627 X RECOGER SALDO CAPITAL DESDE LA CUOTA 7</t>
        </r>
      </text>
    </comment>
    <comment ref="F1083" authorId="0" shapeId="0">
      <text>
        <r>
          <rPr>
            <b/>
            <sz val="9"/>
            <color indexed="81"/>
            <rFont val="Tahoma"/>
            <family val="2"/>
          </rPr>
          <t>GranPc:</t>
        </r>
        <r>
          <rPr>
            <sz val="9"/>
            <color indexed="81"/>
            <rFont val="Tahoma"/>
            <family val="2"/>
          </rPr>
          <t xml:space="preserve">
DCTO 116,249 X RECOGER SALDO CAPITAL DESDE LA LETRA 10</t>
        </r>
      </text>
    </comment>
    <comment ref="F1089" authorId="0" shapeId="0">
      <text>
        <r>
          <rPr>
            <b/>
            <sz val="9"/>
            <color indexed="81"/>
            <rFont val="Tahoma"/>
            <family val="2"/>
          </rPr>
          <t>GranPc:</t>
        </r>
        <r>
          <rPr>
            <sz val="9"/>
            <color indexed="81"/>
            <rFont val="Tahoma"/>
            <family val="2"/>
          </rPr>
          <t xml:space="preserve">
DCTO 41,860 X RECOGER SALDO CAPITAL DESDE LA LETRA 10</t>
        </r>
      </text>
    </comment>
    <comment ref="F1116" authorId="0" shapeId="0">
      <text>
        <r>
          <rPr>
            <b/>
            <sz val="9"/>
            <color indexed="81"/>
            <rFont val="Tahoma"/>
            <family val="2"/>
          </rPr>
          <t>GranPc:</t>
        </r>
        <r>
          <rPr>
            <sz val="9"/>
            <color indexed="81"/>
            <rFont val="Tahoma"/>
            <family val="2"/>
          </rPr>
          <t xml:space="preserve">
DCTO 125,146 POR RECOGER CAPITAL</t>
        </r>
      </text>
    </comment>
    <comment ref="F1117" authorId="0" shapeId="0">
      <text>
        <r>
          <rPr>
            <b/>
            <sz val="9"/>
            <color indexed="81"/>
            <rFont val="Tahoma"/>
            <family val="2"/>
          </rPr>
          <t>GranPc:</t>
        </r>
        <r>
          <rPr>
            <sz val="9"/>
            <color indexed="81"/>
            <rFont val="Tahoma"/>
            <family val="2"/>
          </rPr>
          <t xml:space="preserve">
DCTO 95,752 POR RECOGER CAPITAL</t>
        </r>
      </text>
    </comment>
    <comment ref="F1145" authorId="0" shapeId="0">
      <text>
        <r>
          <rPr>
            <b/>
            <sz val="9"/>
            <color indexed="81"/>
            <rFont val="Tahoma"/>
            <family val="2"/>
          </rPr>
          <t>GranPc:</t>
        </r>
        <r>
          <rPr>
            <sz val="9"/>
            <color indexed="81"/>
            <rFont val="Tahoma"/>
            <family val="2"/>
          </rPr>
          <t xml:space="preserve">
LE DCTARON 119,462 X RECOGER SALDO CAPITAL DESDE LA CUOTA 7</t>
        </r>
      </text>
    </comment>
    <comment ref="F1164" authorId="0" shapeId="0">
      <text>
        <r>
          <rPr>
            <b/>
            <sz val="9"/>
            <color indexed="81"/>
            <rFont val="Tahoma"/>
            <family val="2"/>
          </rPr>
          <t>GranPc:</t>
        </r>
        <r>
          <rPr>
            <sz val="9"/>
            <color indexed="81"/>
            <rFont val="Tahoma"/>
            <family val="2"/>
          </rPr>
          <t xml:space="preserve">
DCTO 88,671 X RECOGER SALDO CAPITAL DESDE LA LETRA 10</t>
        </r>
      </text>
    </comment>
    <comment ref="F1170" authorId="0" shapeId="0">
      <text>
        <r>
          <rPr>
            <b/>
            <sz val="9"/>
            <color indexed="81"/>
            <rFont val="Tahoma"/>
            <family val="2"/>
          </rPr>
          <t>GranPc:</t>
        </r>
        <r>
          <rPr>
            <sz val="9"/>
            <color indexed="81"/>
            <rFont val="Tahoma"/>
            <family val="2"/>
          </rPr>
          <t xml:space="preserve">
DCTO 31,939 X RECOGER SALDO CAPITAL DESDE LA LETRA 10</t>
        </r>
      </text>
    </comment>
    <comment ref="F1196" authorId="0" shapeId="0">
      <text>
        <r>
          <rPr>
            <b/>
            <sz val="9"/>
            <color indexed="81"/>
            <rFont val="Tahoma"/>
            <family val="2"/>
          </rPr>
          <t>GranPc:</t>
        </r>
        <r>
          <rPr>
            <sz val="9"/>
            <color indexed="81"/>
            <rFont val="Tahoma"/>
            <family val="2"/>
          </rPr>
          <t xml:space="preserve">
DCTO 101,806 POR RECOGER CAPITAL</t>
        </r>
      </text>
    </comment>
    <comment ref="F1197" authorId="0" shapeId="0">
      <text>
        <r>
          <rPr>
            <b/>
            <sz val="9"/>
            <color indexed="81"/>
            <rFont val="Tahoma"/>
            <family val="2"/>
          </rPr>
          <t>GranPc:</t>
        </r>
        <r>
          <rPr>
            <sz val="9"/>
            <color indexed="81"/>
            <rFont val="Tahoma"/>
            <family val="2"/>
          </rPr>
          <t xml:space="preserve">
DCTO 77,900 POR RECOGER CAPITAL</t>
        </r>
      </text>
    </comment>
    <comment ref="F1224" authorId="0" shapeId="0">
      <text>
        <r>
          <rPr>
            <b/>
            <sz val="9"/>
            <color indexed="81"/>
            <rFont val="Tahoma"/>
            <family val="2"/>
          </rPr>
          <t>GranPc:</t>
        </r>
        <r>
          <rPr>
            <sz val="9"/>
            <color indexed="81"/>
            <rFont val="Tahoma"/>
            <family val="2"/>
          </rPr>
          <t xml:space="preserve">
LE DCTARON 80,995 X RECOGER SALDO CAPITAL DESDE LA CUOTA 7</t>
        </r>
      </text>
    </comment>
    <comment ref="F1242" authorId="0" shapeId="0">
      <text>
        <r>
          <rPr>
            <b/>
            <sz val="9"/>
            <color indexed="81"/>
            <rFont val="Tahoma"/>
            <family val="2"/>
          </rPr>
          <t>GranPc:</t>
        </r>
        <r>
          <rPr>
            <sz val="9"/>
            <color indexed="81"/>
            <rFont val="Tahoma"/>
            <family val="2"/>
          </rPr>
          <t xml:space="preserve">
DCTO 60,127 X RECOGER SALDO CAPITAL DESDE LA LETRA 10</t>
        </r>
      </text>
    </comment>
    <comment ref="F1247" authorId="0" shapeId="0">
      <text>
        <r>
          <rPr>
            <b/>
            <sz val="9"/>
            <color indexed="81"/>
            <rFont val="Tahoma"/>
            <family val="2"/>
          </rPr>
          <t>GranPc:</t>
        </r>
        <r>
          <rPr>
            <sz val="9"/>
            <color indexed="81"/>
            <rFont val="Tahoma"/>
            <family val="2"/>
          </rPr>
          <t xml:space="preserve">
DCTO 21,672 X RECOGER SALDO CAPITAL DESDE LA LETRA 10</t>
        </r>
      </text>
    </comment>
    <comment ref="F1271" authorId="0" shapeId="0">
      <text>
        <r>
          <rPr>
            <b/>
            <sz val="9"/>
            <color indexed="81"/>
            <rFont val="Tahoma"/>
            <family val="2"/>
          </rPr>
          <t>GranPc:</t>
        </r>
        <r>
          <rPr>
            <sz val="9"/>
            <color indexed="81"/>
            <rFont val="Tahoma"/>
            <family val="2"/>
          </rPr>
          <t xml:space="preserve">
DCTO 77,650 POR RECOGER CAPITAL</t>
        </r>
      </text>
    </comment>
    <comment ref="F1272" authorId="0" shapeId="0">
      <text>
        <r>
          <rPr>
            <b/>
            <sz val="9"/>
            <color indexed="81"/>
            <rFont val="Tahoma"/>
            <family val="2"/>
          </rPr>
          <t>GranPc:</t>
        </r>
        <r>
          <rPr>
            <sz val="9"/>
            <color indexed="81"/>
            <rFont val="Tahoma"/>
            <family val="2"/>
          </rPr>
          <t xml:space="preserve">
DCTO 59,424 POR RECOGER CAPITAL</t>
        </r>
      </text>
    </comment>
    <comment ref="F1296" authorId="0" shapeId="0">
      <text>
        <r>
          <rPr>
            <b/>
            <sz val="9"/>
            <color indexed="81"/>
            <rFont val="Tahoma"/>
            <family val="2"/>
          </rPr>
          <t>GranPc:</t>
        </r>
        <r>
          <rPr>
            <sz val="9"/>
            <color indexed="81"/>
            <rFont val="Tahoma"/>
            <family val="2"/>
          </rPr>
          <t xml:space="preserve">
LE DCTARON 41,183 X RECOGER SALDO CAPITAL DESDE LA CUOTA 7</t>
        </r>
      </text>
    </comment>
    <comment ref="F1312" authorId="0" shapeId="0">
      <text>
        <r>
          <rPr>
            <b/>
            <sz val="9"/>
            <color indexed="81"/>
            <rFont val="Tahoma"/>
            <family val="2"/>
          </rPr>
          <t>GranPc:</t>
        </r>
        <r>
          <rPr>
            <sz val="9"/>
            <color indexed="81"/>
            <rFont val="Tahoma"/>
            <family val="2"/>
          </rPr>
          <t xml:space="preserve">
DCTO 30,585 X RECOGER SALDO CAPITAL DESDE LA LETRA 10</t>
        </r>
      </text>
    </comment>
    <comment ref="F1317" authorId="0" shapeId="0">
      <text>
        <r>
          <rPr>
            <b/>
            <sz val="9"/>
            <color indexed="81"/>
            <rFont val="Tahoma"/>
            <family val="2"/>
          </rPr>
          <t>GranPc:</t>
        </r>
        <r>
          <rPr>
            <sz val="9"/>
            <color indexed="81"/>
            <rFont val="Tahoma"/>
            <family val="2"/>
          </rPr>
          <t xml:space="preserve">
DCTO 11,045 X RECOGER SALDO CAPITAL DESDE LA LETRA 10</t>
        </r>
      </text>
    </comment>
    <comment ref="F1337" authorId="0" shapeId="0">
      <text>
        <r>
          <rPr>
            <b/>
            <sz val="9"/>
            <color indexed="81"/>
            <rFont val="Tahoma"/>
            <family val="2"/>
          </rPr>
          <t>GranPc:</t>
        </r>
        <r>
          <rPr>
            <sz val="9"/>
            <color indexed="81"/>
            <rFont val="Tahoma"/>
            <family val="2"/>
          </rPr>
          <t xml:space="preserve">
DCTO 52,647 POR RECOGER CAPITAL</t>
        </r>
      </text>
    </comment>
    <comment ref="F1338" authorId="0" shapeId="0">
      <text>
        <r>
          <rPr>
            <b/>
            <sz val="9"/>
            <color indexed="81"/>
            <rFont val="Tahoma"/>
            <family val="2"/>
          </rPr>
          <t>GranPc:</t>
        </r>
        <r>
          <rPr>
            <sz val="9"/>
            <color indexed="81"/>
            <rFont val="Tahoma"/>
            <family val="2"/>
          </rPr>
          <t xml:space="preserve">
DCTO 40,300 POR RECOGER CAPITAL</t>
        </r>
      </text>
    </comment>
    <comment ref="F1387" authorId="0" shapeId="0">
      <text>
        <r>
          <rPr>
            <b/>
            <sz val="9"/>
            <color indexed="81"/>
            <rFont val="Tahoma"/>
            <family val="2"/>
          </rPr>
          <t>GranPc:</t>
        </r>
        <r>
          <rPr>
            <sz val="9"/>
            <color indexed="81"/>
            <rFont val="Tahoma"/>
            <family val="2"/>
          </rPr>
          <t xml:space="preserve">
DCTO 26,770 POR RECOGER CAPITAL</t>
        </r>
      </text>
    </comment>
    <comment ref="F1388" authorId="0" shapeId="0">
      <text>
        <r>
          <rPr>
            <b/>
            <sz val="9"/>
            <color indexed="81"/>
            <rFont val="Tahoma"/>
            <family val="2"/>
          </rPr>
          <t>GranPc:</t>
        </r>
        <r>
          <rPr>
            <sz val="9"/>
            <color indexed="81"/>
            <rFont val="Tahoma"/>
            <family val="2"/>
          </rPr>
          <t xml:space="preserve">
DCTO 20,508 POR RECOGER CAPITAL</t>
        </r>
      </text>
    </comment>
  </commentList>
</comments>
</file>

<file path=xl/sharedStrings.xml><?xml version="1.0" encoding="utf-8"?>
<sst xmlns="http://schemas.openxmlformats.org/spreadsheetml/2006/main" count="6838" uniqueCount="592">
  <si>
    <t>Cuota ($)</t>
  </si>
  <si>
    <t>Monto préstamo ($)</t>
  </si>
  <si>
    <t>Cálculo Valor Cuota del Crédito</t>
  </si>
  <si>
    <t>Plazo del crédito (Meses)</t>
  </si>
  <si>
    <t>Tasa de Interés (%)</t>
  </si>
  <si>
    <t>Referencia Moto</t>
  </si>
  <si>
    <t>FZN150-A</t>
  </si>
  <si>
    <t>FZN250-A</t>
  </si>
  <si>
    <t>GDR155-A (AEROX)</t>
  </si>
  <si>
    <t>GPD155-A (NMAX)</t>
  </si>
  <si>
    <t>MTN155-A</t>
  </si>
  <si>
    <t>SZ15RR</t>
  </si>
  <si>
    <t>T115FI</t>
  </si>
  <si>
    <t>XTZ125</t>
  </si>
  <si>
    <t>XTZ150</t>
  </si>
  <si>
    <t>XTZ250</t>
  </si>
  <si>
    <t>YB125ZR</t>
  </si>
  <si>
    <t>YC110D (YC-Z)</t>
  </si>
  <si>
    <t>YZF155-A (YZF-R15)</t>
  </si>
  <si>
    <t>CZD300-A (X-MAX300)</t>
  </si>
  <si>
    <t>MTN320-A (MT03)</t>
  </si>
  <si>
    <t>CBU</t>
  </si>
  <si>
    <t>Valor compra</t>
  </si>
  <si>
    <t>Cuota Inicial</t>
  </si>
  <si>
    <t>*</t>
  </si>
  <si>
    <t>CONTROL DIARIO DE CAJA</t>
  </si>
  <si>
    <t>PITALITO</t>
  </si>
  <si>
    <t>DD</t>
  </si>
  <si>
    <t>MM</t>
  </si>
  <si>
    <t>AA</t>
  </si>
  <si>
    <t>02</t>
  </si>
  <si>
    <t>25</t>
  </si>
  <si>
    <t>SALDO ANTERIOR</t>
  </si>
  <si>
    <t>MOVIMIENTO DEL DÍA</t>
  </si>
  <si>
    <t>LETRAS</t>
  </si>
  <si>
    <t>NUMERO DE CUOTA</t>
  </si>
  <si>
    <t>NOMBRE DEL CLIENTE</t>
  </si>
  <si>
    <t>CIUDAD</t>
  </si>
  <si>
    <t>EFECTIVO</t>
  </si>
  <si>
    <t>CHEQUE</t>
  </si>
  <si>
    <t>TARJETA</t>
  </si>
  <si>
    <t>TOTAL</t>
  </si>
  <si>
    <t>DÉBITO</t>
  </si>
  <si>
    <t>CRÉDITO</t>
  </si>
  <si>
    <t>RECIBIDO</t>
  </si>
  <si>
    <t>TOTAL INGRESOS A CAJA</t>
  </si>
  <si>
    <t>PAGOS EFECTUADOS</t>
  </si>
  <si>
    <t>FECHA</t>
  </si>
  <si>
    <t>FACTURA O RECIBO CAJA MENOR</t>
  </si>
  <si>
    <t>CONCEPTO</t>
  </si>
  <si>
    <t>NETO PAGADO</t>
  </si>
  <si>
    <t>TOTAL PAGOS DE CAJA</t>
  </si>
  <si>
    <t>CONSIGNACIONES EFECTUADAS DEL RECUADO DEL DÍA</t>
  </si>
  <si>
    <t>BANCO</t>
  </si>
  <si>
    <t>CONSIGNACION</t>
  </si>
  <si>
    <t>CUENTA</t>
  </si>
  <si>
    <t>TOTAL EFECTIVO</t>
  </si>
  <si>
    <t>No</t>
  </si>
  <si>
    <t>SALDO DE CAJA</t>
  </si>
  <si>
    <t>ELABORÓ</t>
  </si>
  <si>
    <t>REVISÓ</t>
  </si>
  <si>
    <t>VERIFICACION</t>
  </si>
  <si>
    <t>DESEMBOLSO JUAN CARLOS CUELLAR ALAPE</t>
  </si>
  <si>
    <t>JUAN CARLOS CUELLAR ALAPE</t>
  </si>
  <si>
    <t>CXP A MOTO JAPONESA</t>
  </si>
  <si>
    <t>DESEMBOLSO ANDRES HENRY HERNANDEZ DELGADO</t>
  </si>
  <si>
    <t>ANDRES HENRY HERNANDEZ DELGADO</t>
  </si>
  <si>
    <t>26</t>
  </si>
  <si>
    <t>SALDO EN CAJA</t>
  </si>
  <si>
    <t>DESEMBOLSO DIANA VANESSA LEIVA CUELLAR</t>
  </si>
  <si>
    <t>DIANA VANESSA LEIVA CUELLAR</t>
  </si>
  <si>
    <t>PAGO LETRA DIANA VANESSA LEIVA CUELLAR</t>
  </si>
  <si>
    <t>PAGO LETRA JUAN CARLOS CUELLAR ALAPE</t>
  </si>
  <si>
    <t>PAGO LETRA ANDRES HENRY HERNANDEZ DELGADO</t>
  </si>
  <si>
    <t>10</t>
  </si>
  <si>
    <t>3-4-5-6-7-8-9-10-11-12</t>
  </si>
  <si>
    <t>PAGO LETRAS JUAN CARLOS CUELLAR ALAPE</t>
  </si>
  <si>
    <t>1</t>
  </si>
  <si>
    <t>14</t>
  </si>
  <si>
    <t>04</t>
  </si>
  <si>
    <t>2</t>
  </si>
  <si>
    <t>DESEMBOLSO MARIA FERNANDA MUÑOZ ROJAS</t>
  </si>
  <si>
    <t>MARIA FERNANDA MUÑOZ ROJAS</t>
  </si>
  <si>
    <t>PAGO LETRA MARIA FERNANDA MUÑOZ ROJAS</t>
  </si>
  <si>
    <t>DESEMBOLSO DANNA GABRIELA ANTURI TOVAR</t>
  </si>
  <si>
    <t>DANNA GABRIELA ANTURI TOVAR</t>
  </si>
  <si>
    <t>PAGO LETRA DANNA GABRIELA ANTURI TOVAR</t>
  </si>
  <si>
    <t>DESEMBOLSO MARIA GLADYS LOPEZ ARGOTE</t>
  </si>
  <si>
    <t>MARIA GLADYS LOPEZ ARGOTE</t>
  </si>
  <si>
    <t>PAGO LETRA MARIA GLADYS LOPEZ ARGOTE</t>
  </si>
  <si>
    <t>DESEMBOLSO JESUS MARIA CASTAÑEDA IJAJI</t>
  </si>
  <si>
    <t>JESUS MARIA CASTAÑEDA IJAJI</t>
  </si>
  <si>
    <t>DESEMBOLSO JER CLENCY ZAMBRANO MENDOZA</t>
  </si>
  <si>
    <t>JER CLENCY ZAMBRANO MENDOZA</t>
  </si>
  <si>
    <t>DESEMBOLSO ADRIANA YULISA ORTIZ BOLAÑOS</t>
  </si>
  <si>
    <t>ADRIANA YULISA ORTIZ BOLAÑOS</t>
  </si>
  <si>
    <t>DESEMBOLSO HEIDER ANDERSON LOPEZ REINA</t>
  </si>
  <si>
    <t>HEIDER ANDERSON LOPEZ REINA</t>
  </si>
  <si>
    <t>YESIKA ESPAÑA PARRA</t>
  </si>
  <si>
    <t>DESEMBOLSO YESIKA ESPAÑA PARRA</t>
  </si>
  <si>
    <t>XXXX</t>
  </si>
  <si>
    <t>PAGO DATACREDITOS (DANNA GABRIELA ANTURI, MARIA FERNANDA MUÑOZ, ANDRES HENRY HERNANDEZ, JUAN CARLOS CUELLAR, PAOLA ANDREA BUSTOS, DARIO ALFONSO GUAJI, DIANA VANESSA LEIVA, MARIA GLADYS LOPEZ, JESIKA ESPAÑA, JHONY CAMILO MUÑOZ, JESUS MARIA CASTAÑEDA, JER CLENCY ZAMBRANO, ADRIANA YULISA ORTIZ)</t>
  </si>
  <si>
    <t>PAGO DATACREDITOS (LEIDY VIVIANA BAMBAGUE, ELKIN JAIR BEDOYA, EUGENIA GOMEZ ALARCON, HEIDER ANDERSON LOPEZ, YAQUELINE JOVEN, LINA PAOLA SOLANO)</t>
  </si>
  <si>
    <t>PAGO LETRA JESUS MARIA CASTAÑEDA IJAJI</t>
  </si>
  <si>
    <t>PAGO LETRA YESIKA ESPAÑA PARRA</t>
  </si>
  <si>
    <t>PAGO LETRA HEIDER ANDERSON LOPEZ REINA</t>
  </si>
  <si>
    <t>PAGO LETRA JER CLENCY ZAMBRANO MENDOZA</t>
  </si>
  <si>
    <t>PAGO LETRA ADRIANA YULISA ORTIZ BOLAÑOS</t>
  </si>
  <si>
    <t>DESEMBOLSO YAQUELINE JOVEN</t>
  </si>
  <si>
    <t>YAQUELINE JOVEN</t>
  </si>
  <si>
    <t>DESEMBOLSO ANGELA RIVERA VARGAS</t>
  </si>
  <si>
    <t>ANGELA RIVERA VARGAS</t>
  </si>
  <si>
    <t>DESEMBOLSO ELKIN JAIR BEDOYA STERLING</t>
  </si>
  <si>
    <t>ELKIN JAIR BEDOYA STERLING</t>
  </si>
  <si>
    <t>DESEMBOLSO MARIA CARMEN MONTENEGRO RAMIREZ</t>
  </si>
  <si>
    <t>MARIA CARMEN MONTENEGRO RAMIREZ</t>
  </si>
  <si>
    <t>DESEMBOLSO JORGE EMANUEL OSPINA SOLANO</t>
  </si>
  <si>
    <t>JORGE EMANUEL OSPINA SOLANO</t>
  </si>
  <si>
    <t>DESEMBOLSO LICETH YERARDIN BERNAL CIFUENTES</t>
  </si>
  <si>
    <t>LICETH YERARDIN BERNAL CIFUENTES</t>
  </si>
  <si>
    <t>DESEMBOLSO OSCAR ANDRES MUÑOZ SCARPETTA</t>
  </si>
  <si>
    <t>OSCAR ANDRES MUÑOZ SCARPETTA</t>
  </si>
  <si>
    <t>05</t>
  </si>
  <si>
    <t>FRA ALFA DISTRIBUCIONES DEL SUR 2 (COMPRA TALONARIO LETRAS)</t>
  </si>
  <si>
    <t>PAGO DATACREDITOS (MARIA CARMEN MONTENEGRO, LINA PAOLA LOZANO, CAMILA CHILITO, MARTHA CATALINA CERON, LICETH GERARDINE BERNAL)</t>
  </si>
  <si>
    <t>ABONO CAPITAL FRA ANTERIOR</t>
  </si>
  <si>
    <t>DESEMBOLSO CAMILA STEFANY CHILITO GONZALEZ</t>
  </si>
  <si>
    <t>DESEMBOLSO BRAYAN ESTIVEN ARIAS TABORDA</t>
  </si>
  <si>
    <t>DESEMBOLSO LUIS ESTEBAN LOAIZA GARCIA</t>
  </si>
  <si>
    <t>CAMILA STEFANY CHILITO GONZALEZ</t>
  </si>
  <si>
    <t>BRAYAN ESTIVEN ARIAS TABORDA</t>
  </si>
  <si>
    <t>LUIS ESTEBAN LOAIZA GARCIA</t>
  </si>
  <si>
    <t>PAGO LETRA OSCAR ANDRES MUÑOZ SCARPETTA</t>
  </si>
  <si>
    <t>PAGO LETRA ELKIN JAIR BEDOYA STERLING</t>
  </si>
  <si>
    <t>PAGO LETRA YAQUELINE JOVEN</t>
  </si>
  <si>
    <t>PAGO LETRA MARIA CARMEN MONTENEGRO RAMIREZ</t>
  </si>
  <si>
    <t>PAGO LETRA ANGELA RIVERA VARGAS</t>
  </si>
  <si>
    <t>PAGO LETRA JORGE EMANUEL OSPINA SOLANO</t>
  </si>
  <si>
    <t>PAGO LETRA LICETH YERARDIN BERNAL CIFUENTES</t>
  </si>
  <si>
    <t>1-2</t>
  </si>
  <si>
    <t>12</t>
  </si>
  <si>
    <t>06</t>
  </si>
  <si>
    <t>3</t>
  </si>
  <si>
    <t>PAGO DATACREDITOS (MERY VIVIANA GOMEZ BRAVO, VICTOR ALFONSO CORREA HERMIDA, LUIS ESTEBAN LOAIZA GARCIA, WILLIAM ANDRES MUÑOZ SAMBONI, OSCAR ANDRES MUÑOZ SCARPETTA, BRAYAN ESTIVEN ARIAS TABORDA, LUIS FERNANDO CARDENAS VELASQUEZ, ELIBERTO ANTONIO DUQUE ROMERO, JOHAN DAVID QUINAYAS MURCIA, DIEGO FERNANDO IJAJI GOMEZ, LUZ STELLA GOMEZ POLOCHE, ARGEMIRO VARGAS CRUZ, ALVARO ADRIAN CAMPOS ALVEAR, JAVIER ALONSO PERDOMO NINCO, ANDRES FELIPE ACHURY ARTUNDUAGA, GISELLA PERAFAN HOYOS, ROSA ELENA PEREZ ZUÑIGA, ANDRES CAMILO BOLAÑOS SALAZAR)</t>
  </si>
  <si>
    <t>PAGO LETRAS BRAYAN ESTIVEN ARIAS TABORDA</t>
  </si>
  <si>
    <t>PAGO DATACREDITOS (CRISTIAN ALBERTO TOVAR, YENIFER TATIANA IMBACHI)</t>
  </si>
  <si>
    <t>FRA ALFA DISTRIBUCIONES DEL SUR 2 (COMPRA 2 TALONARIOS DE LETRAS)</t>
  </si>
  <si>
    <t>PAGO DATACREDITOS (ALBEIRO MUÑOZ UNI, CESAR A. MUÑOZ MOTTA, HENRY POLANIA MEDINA)</t>
  </si>
  <si>
    <t>DESEMBOLSO VICTOR ALFONSO CORREA HERMIDA</t>
  </si>
  <si>
    <t>VICTOR ALFONSO CORREA HERMIDA</t>
  </si>
  <si>
    <t>DESEMBOLSO CESAR ALBEIRO MUÑOZ MOTTA</t>
  </si>
  <si>
    <t>CESAR ALBEIRO MUÑOZ MOTTA</t>
  </si>
  <si>
    <t>DESEMBOLSO DIEGO FERNANDO IJAJI GOMEZ</t>
  </si>
  <si>
    <t>DIEGO FERNANDO IJAJI GOMEZ</t>
  </si>
  <si>
    <t>DESEMBOLSO JAVIER ALONSO PERDOMO NINCO</t>
  </si>
  <si>
    <t>JAVIER ALONSO PERDOMO NINCO</t>
  </si>
  <si>
    <t>DESEMBOLSO ANDRES CAMILO BOLAÑOS SALAZAR</t>
  </si>
  <si>
    <t>ANDRES CAMILO BOLAÑOS SALAZAR</t>
  </si>
  <si>
    <t>5</t>
  </si>
  <si>
    <t>FRA PAPELERIA OFFICE (RESMA CARTA)</t>
  </si>
  <si>
    <t>PAGO LETRA LUIS ESTEBAN LOAIZA GARCIA</t>
  </si>
  <si>
    <t>PAGO LETRA VICTOR ALFONSO CORREA HERMIDA</t>
  </si>
  <si>
    <t>PAGO DATACREDITOS (GRETY VANESSA PEREZ, REINEL GOMEZ VELA, CATALINA CEDEÑO PLAZAS, ALVARO FORERO, JOSE JANIER MURILLO)</t>
  </si>
  <si>
    <t>DESEMBOLSO CATALINA CEDEÑO PLAZAS</t>
  </si>
  <si>
    <t>CATALINA CEDEÑO PLAZAS</t>
  </si>
  <si>
    <t>DESEMBOLSO GISELLA PERAFAN HOYOS</t>
  </si>
  <si>
    <t>GISELLA PERAFAN HOYOS</t>
  </si>
  <si>
    <t>DESEMBOLSO LUZ STELLA GOMEZ POLOCHE</t>
  </si>
  <si>
    <t>LUZ STELLA GOMEZ POLOCHE</t>
  </si>
  <si>
    <t>DESEMBOLSO LINA PAOLA SOLANO CARVAJAL</t>
  </si>
  <si>
    <t>LINA PAOLA SOLANO CARVAJAL</t>
  </si>
  <si>
    <t>ALEXIS PLAZAS MOSQUERA</t>
  </si>
  <si>
    <t>DESEMBOLSO ALEXIS PLAZAS MOSQUERA</t>
  </si>
  <si>
    <t>DESEMBOLSO MERY VIVIANA GOMEZ BRAVO</t>
  </si>
  <si>
    <t>MERY VIVIANA GOMEZ BRAVO</t>
  </si>
  <si>
    <t>DESEMBOLSO ZELENY MARTINEZ PAVA</t>
  </si>
  <si>
    <t>ZELENY MARTINEZ PAVA</t>
  </si>
  <si>
    <t>2-3</t>
  </si>
  <si>
    <t>PAGO LETRAS JORGE EMANUEL OSPINA SOLANO</t>
  </si>
  <si>
    <t>07</t>
  </si>
  <si>
    <t>PAGO LETRA JAVIER ALONSO PERDOMO NINCO</t>
  </si>
  <si>
    <t>ABONO LETRA CATALINA CEDEÑO PLAZAS</t>
  </si>
  <si>
    <t>PAGO LETRA CAMILA STEFANY CHILITO GONZALEZ</t>
  </si>
  <si>
    <t>PAGO DATACREDITOS (JUAN ESTEBAN CALDERON, PEDRO ANTONIO PLAZAS, CARLOS HERNAN SARRIA)</t>
  </si>
  <si>
    <t>PAGO LETRA CESAR ALBEIRO MUÑOZ MOTTA</t>
  </si>
  <si>
    <t>PAGO LETRA ANDRES CAMILO BOLAÑOS SALAZAR</t>
  </si>
  <si>
    <t>PAGO LETRA ALEXIS PLAZAS MOSQUERA</t>
  </si>
  <si>
    <t>PAGO LETRA MERY VIVIANA GOMEZ BRAVO</t>
  </si>
  <si>
    <t>4</t>
  </si>
  <si>
    <t>PAGO DATACREDITOS (FABIO MAURICIO ARAUJO, RAMON ALFONSO FIERRO, JENNY JAZMIR PIAMBA, ELVER HERLING, MARIA CAMILA MENDEZ)</t>
  </si>
  <si>
    <t>4-5</t>
  </si>
  <si>
    <t>PAGO LETRA GISELLA PERAFAN HOYOS</t>
  </si>
  <si>
    <t>PAGO LETRA LUZ STELLA GOMEZ POLOCHE</t>
  </si>
  <si>
    <t>PAGO LETRA DIEGO FERNANDO IJAJI GOMEZ</t>
  </si>
  <si>
    <t>PAGO LETRA ZELENY MARTINEZ PAVA</t>
  </si>
  <si>
    <t xml:space="preserve">DESEMBOLSO ALVARO FORERO VALDERRAMA </t>
  </si>
  <si>
    <t>ALVARO FORERO VALDERRAMA</t>
  </si>
  <si>
    <t>PAGO LETRA ALVARO FORERO VALDERRAMA</t>
  </si>
  <si>
    <t>DESEMBOLSO JUAN ESTEBAN CALDERON GALLARDO</t>
  </si>
  <si>
    <t>DESEMBOLSO ROSA ELENA PEREZ ZUÑIGA</t>
  </si>
  <si>
    <t>ROSA ELENA PEREZ ZUÑIGA</t>
  </si>
  <si>
    <t>JUAN ESTEBAN CALDERON GALLARDO</t>
  </si>
  <si>
    <t>DESEMBOLSO CARLOS HERNAN SARRIA CHAVEZ</t>
  </si>
  <si>
    <t>DESEMBOLSO RAMON ALFONSO FIERRO CAMACHO</t>
  </si>
  <si>
    <t>CARLOS HERNAN SARRIA CHAVEZ</t>
  </si>
  <si>
    <t>RAMON ALFONSO FIERRO CAMACHO</t>
  </si>
  <si>
    <t>6</t>
  </si>
  <si>
    <t>PAGO LETRA LINA PAOLA SOLANO CARVAJAL</t>
  </si>
  <si>
    <t>3-4-5-6</t>
  </si>
  <si>
    <t>PAGO DATACREDITOS (YOELI BUITRAGO MOTTA, ALEXIS CEDIEL BENAVIDES, LICED FERNANDA PIMENTEL, JUAN FERNANDO ACHURY BRAVO, CRISTIAN ARLES ROJAS VALENCIA)</t>
  </si>
  <si>
    <t>PAGO LETRA JUAN ESTEBAN CALDERON GALLARDO</t>
  </si>
  <si>
    <t>PAGO LETRA ROSA ELENA PEREZ ZUÑIGA</t>
  </si>
  <si>
    <t>PAGO DATACREDITOS (JUAN SEBASTIAN GUEVARA RIVERA, JESSICA LORENA RUBIO SILVA, GIOVANI ALBINO VALDERRAMA PIAMBA, IMNA ESTEFANY ZUÑIGA POVEDA)</t>
  </si>
  <si>
    <t>FRA ALFA DISTRIBUCIONES DEL SUR 2 (COMPRA 3 TALONARIOS DE LETRAS)</t>
  </si>
  <si>
    <t>09</t>
  </si>
  <si>
    <t>08</t>
  </si>
  <si>
    <t>ABONO CXC MOTO JAPONESA</t>
  </si>
  <si>
    <t>8</t>
  </si>
  <si>
    <t>2-3-4-5-6-7-8-9</t>
  </si>
  <si>
    <t>PAGO LETRAS ROSA ELENA PEREZ ZUÑIGA</t>
  </si>
  <si>
    <t>DESEMBOLSO GIOVANNI ALBINO VALDERRAMA PIAMBA</t>
  </si>
  <si>
    <t>GIOVANNI ALBINO VALDERRAMA PIAMBA</t>
  </si>
  <si>
    <t>PAGO LETRA GIOVANNI ALBINO VALDERRAMA PIAMBA</t>
  </si>
  <si>
    <t>PAGO LETRA RAMON ALFONSO FIERRO CAMACHO</t>
  </si>
  <si>
    <t>DESEMBOLSO YOELI BUITRAGO MOTTA</t>
  </si>
  <si>
    <t>YOELI BUITRAGO MOTTA</t>
  </si>
  <si>
    <t>PAGO LETRA YOELI BUITRAGO MOTTA</t>
  </si>
  <si>
    <t>PAGO LETRA CARLOS HERNAN SARRIA CHAVEZ</t>
  </si>
  <si>
    <t>5-6-7-8-9-10-11-12-13-14-15-16-17-18</t>
  </si>
  <si>
    <t>PAGO LETRAS ELKIN JAIR BEDOYA STERLING</t>
  </si>
  <si>
    <t>6-7</t>
  </si>
  <si>
    <t>DESEMBOLSO ALEXIS CEDIEL BENAVIDES</t>
  </si>
  <si>
    <t>ALEXIS CEDIEL BENAVIDES</t>
  </si>
  <si>
    <t>DESEMBOLSO JULIAN FERNANDO ACHURY BRAVO</t>
  </si>
  <si>
    <t>JULIAN FERNANDO ACHURY BRAVO</t>
  </si>
  <si>
    <t>DESEMBOLSO MARIA CAMILA MENDEZ CORTES</t>
  </si>
  <si>
    <t>MARIA CAMILA MENDEZ CORTES</t>
  </si>
  <si>
    <t>DESEMBOLSO JUAN SEBASTIAN GUEVARA RIVERA</t>
  </si>
  <si>
    <t xml:space="preserve"> JUAN SEBASTIAN GUEVARA RIVERA</t>
  </si>
  <si>
    <t>DESEMBOLSO FABIO MAURICIO ARAUJO CERON</t>
  </si>
  <si>
    <t>GARZON</t>
  </si>
  <si>
    <t>FABIO MAURICIO ARAUJO CERON</t>
  </si>
  <si>
    <t>DESEMBOLSO JOSE JANIER MURILLO MANJARRES</t>
  </si>
  <si>
    <t>JOSE JANIER MURILLO MANJARRES</t>
  </si>
  <si>
    <t>ABONO CXP MOTO JAPONESA</t>
  </si>
  <si>
    <t>20</t>
  </si>
  <si>
    <t>FRA ALFA DISTRIBUCIONES DEL SUR 2 (CATALOGO + PASTA CATALOGO 3 AROS)</t>
  </si>
  <si>
    <t>PAGO DATACREDITOS (YILBER FABIAN CALDERON BUESAQUILLO, ERIK YABID ORDOÑEZ MONTENEGRO, ANDRES FELIPE GUACA LAGUNA, ADRIAN FERNANDO CABRA MARTINEZ, CARLOS AUGUSTO SANCHEZ SANCHEZ, CAMILA ANDREA CUELLAR RIVERA, JUAN PABLO ALVAREZ BERMEO, LAURA DANIELA GONZALEZ LUGO, CESAR ORLANDO ESPITIA ARIAS, JESUS ANTONIO TOVAR VALENCIA)</t>
  </si>
  <si>
    <t>PAGO LETRA ALEXIS CEDIEL BENAVIDES</t>
  </si>
  <si>
    <t>PAGO LETRA JOSE JANIER MURILLO MANJARRES</t>
  </si>
  <si>
    <t>PAGO LETRA FABIO MAURICIO ARAUJO CERON</t>
  </si>
  <si>
    <t>PAGO LETRA JULIAN FERNANDO ACHURY BRAVO</t>
  </si>
  <si>
    <t>SALDO LETRA CATALINA CEDEÑO PLAZAS</t>
  </si>
  <si>
    <t>PAGO LETRAS CATALINA CEDEÑO PLAZAS</t>
  </si>
  <si>
    <t>DESEMBOLSO IMNA ESTEFANY ZUÑIGA POVEDA</t>
  </si>
  <si>
    <t>IMNA ESTEFANY ZUÑIGA POVEDA</t>
  </si>
  <si>
    <t>DESEMBOLSO LICED FERNANDA PIMENTEL PENAGOS</t>
  </si>
  <si>
    <t>LICED FERNANDA PIMENTEL PENAGOS</t>
  </si>
  <si>
    <t>DESEMBOLSO ANDRES FELIPE GUACA LAGUNA</t>
  </si>
  <si>
    <t>ANDRES FELIPE GUACA LAGUNA</t>
  </si>
  <si>
    <t>DESEMBOLSO ERIK YABID ORDOÑEZ MONTENEGRO</t>
  </si>
  <si>
    <t>ERIK YABID ORDOÑEZ MONTENEGRO</t>
  </si>
  <si>
    <t>8-9</t>
  </si>
  <si>
    <t xml:space="preserve"> PAGO LETRA JUAN SEBASTIAN GUEVARA RIVERA</t>
  </si>
  <si>
    <t>PAGO LETRA IMNA ESTEFANY ZUÑIGA POVEDA</t>
  </si>
  <si>
    <t>7</t>
  </si>
  <si>
    <t>DESEMBOLSO ANGIE KATERINE CARDOSO GONZALEZ</t>
  </si>
  <si>
    <t>ANGIE KATERINE CARDOSO GONZALEZ</t>
  </si>
  <si>
    <t>1-2-3</t>
  </si>
  <si>
    <t>PAGO LETRAS ANGIE KATERINE CARDOSO GONZALEZ</t>
  </si>
  <si>
    <t>PAGO LETRA LICED FERNANDA PIMENTEL PENAGOS</t>
  </si>
  <si>
    <t>PAGO DATACREDITOS (FABIAN ANDRES SANCHEZ ESQUIVEL, ANGIE KATERINE CARDOSO GONZALEZ, SILVIA JULIANA FAJARDO MUÑOZ, CARLOS ANDRES GIRALDO CASTILLO, LAURA CRISTINA PAREJA CABRERA, FARID CHILITO VALLEJO, SANDRA MILENA CHAVARRO, JORGE LUIS CLAROS CALDERON, BRAYAN ESTIBEN CHAVARRO LIZCANO, DEISON ARLEY RIVILLOS GUTIERRES)</t>
  </si>
  <si>
    <t>10-11</t>
  </si>
  <si>
    <t>11</t>
  </si>
  <si>
    <t>PAGO LETRA ANDRES FELIPE GUACA LAGUNA</t>
  </si>
  <si>
    <t>PAGO LETRA ERIK YABID ORDOÑEZ MONTENEGRO</t>
  </si>
  <si>
    <t>PAGO LETRA MARIA CAMILA MENDEZ CORTES</t>
  </si>
  <si>
    <t>DESEMBOLSO MAURICIO TORRES SERRATO</t>
  </si>
  <si>
    <t>MAURICIO TORRES SERRATO</t>
  </si>
  <si>
    <t>PAGO LETRA MAURICIO TORRES SERRATO</t>
  </si>
  <si>
    <t>DESEMBOLSO JESSICA LORENA RUBIO SILVA</t>
  </si>
  <si>
    <t>JESSICA LORENA RUBIO SILVA</t>
  </si>
  <si>
    <t>PAGO LETRAS JESSICA LORENA RUBIO SILVA</t>
  </si>
  <si>
    <t>PAGO LETRA  JUAN SEBASTIAN GUEVARA RIVERA</t>
  </si>
  <si>
    <t>DESEMBOLSO LAURA DANIELA GONZALEZ LUGO</t>
  </si>
  <si>
    <t>LAURA DANIELA GONZALEZ LUGO</t>
  </si>
  <si>
    <t>PAGO LETRA LAURA DANIELA GONZALEZ LUGO</t>
  </si>
  <si>
    <t>4-5-6</t>
  </si>
  <si>
    <t>SALDO DEUDA YOELI BUITRAGO MOTTA</t>
  </si>
  <si>
    <t>DESEMBOLSO YILBER FABIAN CALDERON BUESAQUILLO</t>
  </si>
  <si>
    <t>YILBER FABIAN CALDERON BUESAQUILLO</t>
  </si>
  <si>
    <t>PAGO LETRA YILBER FABIAN CALDERON BUESAQUILLO</t>
  </si>
  <si>
    <t>DESEMBOLSO JUAN PABLO ALVAREZ BERMEO</t>
  </si>
  <si>
    <t>JUAN PABLO ALVAREZ BERMEO</t>
  </si>
  <si>
    <t>DESEMBOLSO FELIPE ANDRES PEÑA FIGUEROA</t>
  </si>
  <si>
    <t>FELIPE ANDRES PEÑA FIGUEROA</t>
  </si>
  <si>
    <t>DESEMBOLSO SANDRA MILENA CHAVARRO CUCHIMBA</t>
  </si>
  <si>
    <t>SANDRA MILENA CHAVARRO CUCHIMBA</t>
  </si>
  <si>
    <t>DESEMBOLSO BRAYAN ESTIBEN CHAVARRO LIZCANO</t>
  </si>
  <si>
    <t>BRAYAN ESTIBEN CHAVARRO LIZCANO</t>
  </si>
  <si>
    <t>ABONO LETRA LINA PAOLA SOLANO CARVAJAL</t>
  </si>
  <si>
    <t>13</t>
  </si>
  <si>
    <t>7-8-9-10-11-12</t>
  </si>
  <si>
    <t>SALDO LETRAS LICETH YERARDIN BERNAL CIFUENTES</t>
  </si>
  <si>
    <t>SALDO LETRAS JUAN ESTEBAN CALDERON GALLARDO</t>
  </si>
  <si>
    <t>PAGO LETRA BRAYAN ESTIBEN CHAVARRO LIZCANO</t>
  </si>
  <si>
    <t>PAGO DATACREDITOS (LEIDE ELENA FAJARDO CICERI, TATIANA PEÑA MORA, NEIDA MILENA OCHA CUELLAR, ALBEIRO ROJAS TORRES, VICTOR ALFONSO RAMIREZ QUINTERO, LUZ MERY MONAGA, CRISTIAN CAMILO SUAZA RUEDA, FAUSTO CRUZ SIERRA)</t>
  </si>
  <si>
    <t>PAGO LETRAS FABIO MAURICIO ARAUJO CERON</t>
  </si>
  <si>
    <t>DESEMBOLSO LEIDE ELENA FAJARDO CICERI</t>
  </si>
  <si>
    <t>LEIDE ELENA FAJARDO CICERI</t>
  </si>
  <si>
    <t>PAGO LETRA LEIDE ELENA FAJARDO CICERI</t>
  </si>
  <si>
    <t>PAGO LETRA SANDRA MILENA CHAVARRO CUCHIMBA</t>
  </si>
  <si>
    <t>PAGO LETRA  ALBEIRO MUÑOZ MOTTA</t>
  </si>
  <si>
    <t>3-4</t>
  </si>
  <si>
    <t>PAGO LETRA JESSICA LORENA RUBIO SILVA</t>
  </si>
  <si>
    <t>FRA PAPELERIA ORBE (LETRAS, FECHADOR, RESALTADOR, ALMOHADILLA, TACO, RESMA)</t>
  </si>
  <si>
    <t>PAGO LETRAS JUAN PABLO ALVAREZ BERMEO</t>
  </si>
  <si>
    <t>DESEMBOLSO FABIAN ANDRES SANCHEZ ESQUIVEL</t>
  </si>
  <si>
    <t>FABIAN ANDRES SANCHEZ ESQUIVEL</t>
  </si>
  <si>
    <t>DESEMBOLSO MARIA CAMILA CASTRO PARRA</t>
  </si>
  <si>
    <t>MARIA CAMILA CASTRO PARRA</t>
  </si>
  <si>
    <t>DESEMBOLSO LEIDY TATIANA MORALES PALADINES</t>
  </si>
  <si>
    <t>LEIDY TATIANA MORALES PALADINES</t>
  </si>
  <si>
    <t>DESEMBOLSO FARID CHILITO VALLEJO</t>
  </si>
  <si>
    <t>FARID CHILITO VALLEJO</t>
  </si>
  <si>
    <t xml:space="preserve">DESEMBOLSO CARLOS AUGUSTO SANCHEZ SANCHEZ </t>
  </si>
  <si>
    <t>CARLOS AUGUSTO SANCHEZ SANCHEZ</t>
  </si>
  <si>
    <t>DESEMBOLSO JESUS ANTONIO TOVAR VALENCIA</t>
  </si>
  <si>
    <t>JESUS ANTONIO TOVAR VALENCIA</t>
  </si>
  <si>
    <t>DESEMBOLSO YVONNE ANDREA LOSADA POVEDA</t>
  </si>
  <si>
    <t>YVONNE ANDREA LOSADA POVEDA</t>
  </si>
  <si>
    <t>DESEMBOLSO RULBERT ANTURI CABEZAS</t>
  </si>
  <si>
    <t>RULBERT ANTURI CABEZAS</t>
  </si>
  <si>
    <t>DESEMBOLSO VICTOR ALFONSO RAMIREZ QUINTERO</t>
  </si>
  <si>
    <t>VICTOR ALFONSO RAMIREZ QUINTERO</t>
  </si>
  <si>
    <t>DESEMBOLSO YESSICA PAOLA ROLDAN SANCHEZ</t>
  </si>
  <si>
    <t>YESSICA PAOLA ROLDAN SANCHEZ</t>
  </si>
  <si>
    <t>DESEMBOLSO DEISON ARLEY RIVILLOS GUTIERRES</t>
  </si>
  <si>
    <t>DEISON ARLEY RIVILLOS GUTIERRES</t>
  </si>
  <si>
    <t>DESEMBOLSO JOHAN SEBASTIAN ROJAS CLAROS</t>
  </si>
  <si>
    <t>JOHAN SEBASTIAN ROJAS CLAROS</t>
  </si>
  <si>
    <t>SALDO LETRA LINA PAOLA SOLANO CARVAJAL</t>
  </si>
  <si>
    <t>9</t>
  </si>
  <si>
    <t>DESEMBOLSO SANDRA LILIANA CHAVARRO CASTAÑEDA</t>
  </si>
  <si>
    <t>SANDRA LILIANA CHAVARRO CASTAÑEDA</t>
  </si>
  <si>
    <t>DESEMBOLSO TATIANA PEÑA MORA</t>
  </si>
  <si>
    <t>TATIANA PEÑA MORA</t>
  </si>
  <si>
    <t>DESEMBOLSO ALBEIRO ROJAS TORRES</t>
  </si>
  <si>
    <t>ALBEIRO ROJAS TORRES</t>
  </si>
  <si>
    <t>DESEMBOLSO CRISTIAN CAMILO SUAZA RUEDA</t>
  </si>
  <si>
    <t>CRISTIAN CAMILO SUAZA RUEDA</t>
  </si>
  <si>
    <t>FRA ALFA DISTRIBUCIONES DEL SUR 2 (LETRAS)</t>
  </si>
  <si>
    <t>1-2-3-4-5-6</t>
  </si>
  <si>
    <t>PAGO LETRAS CRISTIAN CAMILO SUAZA RUEDA</t>
  </si>
  <si>
    <t>16</t>
  </si>
  <si>
    <t>01</t>
  </si>
  <si>
    <t>PAGO LETRAS CARLOS AUGUSTO SANCHEZ SANCHEZ</t>
  </si>
  <si>
    <t>PAGO LETRA  TATIANA MORALES PALADINES</t>
  </si>
  <si>
    <t>PAGO LETRA FARID CHILITO VALLEJO</t>
  </si>
  <si>
    <t>PAGO LETRA VICTOR ALFONSO RAMIREZ QUINTERO</t>
  </si>
  <si>
    <t>DESEMBOLSO KLISSMAN JAIR PEREZ CAMPOS</t>
  </si>
  <si>
    <t>KLISSMAN JAIR PEREZ CAMPOS</t>
  </si>
  <si>
    <t>DESEMBOLSO SEBASTIAN FELIPE CEDEÑO TOLEDO</t>
  </si>
  <si>
    <t>LAURA CRISTINA PAREJA CABRERA</t>
  </si>
  <si>
    <t>DESEMBOLSO LAURA CRISTINA PAREJA CABRERA</t>
  </si>
  <si>
    <t>SEBASTIAN FELIPE CEDEÑO TOLEDO</t>
  </si>
  <si>
    <t>DESEMBOLSO RODRIGO GIRALDO RODRIGUEZ</t>
  </si>
  <si>
    <t>RODRIGO GIRALDO RODRIGUEZ</t>
  </si>
  <si>
    <t>DESEMBOLSO MARLEY SOLANYI BARRERA PINEDA</t>
  </si>
  <si>
    <t>MARLEY SOLANYI BARRERA PINEDA</t>
  </si>
  <si>
    <t>PAGO DATACREDITOS (JOHAN SEBASTIAN ROJAS CLAROS, YESSICA PAOLA ROLDAN SANCHEZ, RODRIGO GIRALDO RODRIGUEZ, MARGOTH TOVAR CORDOBA, DIEGO ARMANDO MENESES SANCHEZ, YVONNE ANDREA LOSADA POVEDA, RULBERT ANTURI CABEZAS, MARIA LORENA POVEDA VALENCIA, KLISSMAN JAIR PEREZ CAMPOS, MARLEY SOLANYI BARRERA PINEDA)</t>
  </si>
  <si>
    <t>DESEMBOLSO MARIA FERNANDA BARRETO CAMACHO</t>
  </si>
  <si>
    <t>MARIA FERNANDA BARRETO CAMACHO</t>
  </si>
  <si>
    <t>PAGO LETRA YVONNE ANDREA LOSADA POVEDA</t>
  </si>
  <si>
    <t>PAGO LETRA YESSICA PAOLA ROLDAN SANCHEZ</t>
  </si>
  <si>
    <t>10-11-12</t>
  </si>
  <si>
    <t>PAGO LETRAS MARIA FERNANDA MUÑOZ ROJAS</t>
  </si>
  <si>
    <t>PAGO LETRA FABIAN ANDRES SANCHEZ ESQUIVEL</t>
  </si>
  <si>
    <t>DESEMBOLSO EDWIN ARNOLD ORTIZ PINO</t>
  </si>
  <si>
    <t>EDWIN ARNOLD ORTIZ PINO</t>
  </si>
  <si>
    <t>PAGO LETRA SANDRA LILIANA CHAVARRO CASTAÑEDA</t>
  </si>
  <si>
    <t>PAGO LETRA JOHAN SEBASTIAN ROJAS CLAROS</t>
  </si>
  <si>
    <t>PAGO LETRA JESUS ANTONIO TOVAR VALENCIA</t>
  </si>
  <si>
    <t>PAGO DATACREDITOS (MARIA FERNANDA BARRETO, EDWIN ARNOLD ORTIZ PINO)</t>
  </si>
  <si>
    <t>PAGO LETRA MARIA CAMILA CASTRO PARRA</t>
  </si>
  <si>
    <t>PAGO LEYTRA LUZ STELLA GOMEZ POLOCHE</t>
  </si>
  <si>
    <t>PAGO LETRA LAURA CRISTINA PAREJA CABRERA</t>
  </si>
  <si>
    <t>PAGO LETRA DEISON ARLEY RIVILLOS GUTIERRES</t>
  </si>
  <si>
    <t>PAGO LETRA LEIDY TATIANA MORALES PALADINES</t>
  </si>
  <si>
    <t>PAGO LETRA RULBERT ANTURI CABEZAS</t>
  </si>
  <si>
    <t>PAGO LETRA MARLEY SOLANYI BARRERA PINEDA</t>
  </si>
  <si>
    <t>5-6</t>
  </si>
  <si>
    <t>PAGO LETRA SEBASTIAN FELIPE CEDEÑO TOLEDO</t>
  </si>
  <si>
    <t>PAGO LETRA KLISSMAN JAIR PEREZ CAMPOS</t>
  </si>
  <si>
    <t>8-9-10-11-12</t>
  </si>
  <si>
    <t>DESEMBOLSO EDI ALEXANDER JIMENEZ VARGAS</t>
  </si>
  <si>
    <t>EDI ALEXANDER JIMENEZ VARGAS</t>
  </si>
  <si>
    <t>DESEMBOLSO CLAUDIA PATRICIA SAENZ VARGAS</t>
  </si>
  <si>
    <t>CLAUDIA PATRICIA SAENZ VARGAS</t>
  </si>
  <si>
    <t>DESEMBOLSO YESICA YOHANA DIAZ MENDEZ</t>
  </si>
  <si>
    <t>YESICA YOHANA DIAZ MENDEZ</t>
  </si>
  <si>
    <t>PAGO DATACREDITOS (CLAUDIA PATRICIA SAENZ, INGRID LORENA LUGO, EDI ALEXANDER JIMENEZ, FLOR ANGELA RAMIREZ, YESICA YOHANA DIAZ, ESTER ROSA TRIVIÑO, SERGIO ANDRES ROJAS)</t>
  </si>
  <si>
    <t>PAGO LETRA RODRIGO GIRALDO RODRIGUEZ</t>
  </si>
  <si>
    <t>PAGO LETRA TATIANA PEÑA MORA</t>
  </si>
  <si>
    <t>PAGO LETRA MARIA FERNANDA BARRETO CAMACHO</t>
  </si>
  <si>
    <t>PAGO LETRA EDI ALEXANDER JIMENEZ VARGAS</t>
  </si>
  <si>
    <t>11-12</t>
  </si>
  <si>
    <t>PAGO LETRAS HEIDER ANDERSON LOPEZ REINA</t>
  </si>
  <si>
    <t>19</t>
  </si>
  <si>
    <t>9-10-11-12-13-14</t>
  </si>
  <si>
    <t>PAGO LETRAS OSCAR ANDRES MUÑOZ SCARPETTA</t>
  </si>
  <si>
    <t>DESEMBOLSO ESTER ROSA TRIVIÑO ANDRADE</t>
  </si>
  <si>
    <t>ESTER ROSA TRIVIÑO ANDRADE</t>
  </si>
  <si>
    <t>PAGO LETRA ESTER ROSA TRIVIÑO ANDRADE</t>
  </si>
  <si>
    <t>PAGO LETRA CLAUDIA PATRICIA SAENZ VARGAS</t>
  </si>
  <si>
    <t>PAGO LETRAS LUZ STELLA GOMEZ POLOCHE</t>
  </si>
  <si>
    <t>PAGO DATACREDITOS (CARLA FERNANDA MUÑOZ ROJAS, LAURA VALENTINA BURITICA ACHURY, JORGE IVAN MURILLO MANJARREZ, NEIRED BRAVO MUÑOZ, VIVIANA JISETH CARVAJAL ESQUIVEL, ANYI JULIETH POLO RIOS)</t>
  </si>
  <si>
    <t>PAGO LETRAS ALBEIRO ROJAS TORRES</t>
  </si>
  <si>
    <t>DESEMBOLSO FAUSTO CRUZ SIERRA</t>
  </si>
  <si>
    <t>FAUSTO CRUZ SIERRA</t>
  </si>
  <si>
    <t>PAGO LETRA FAUSTO CRUZ SIERRA</t>
  </si>
  <si>
    <t>DESEMBOLSO NEIDA MILENA OCHOA CUELLAR</t>
  </si>
  <si>
    <t>NEIDA MILENA OCHOA CUELLAR</t>
  </si>
  <si>
    <t>PAGO LETRA NEIDA MILENA OCHOA CUELLAR</t>
  </si>
  <si>
    <t>PAGO LETRA YESICA YOHANA DIAZ MENDEZ</t>
  </si>
  <si>
    <t>DESEMBOLSO DERLY IMBUS SANCHEZ</t>
  </si>
  <si>
    <t>DERLY IMBUS SANCHEZ</t>
  </si>
  <si>
    <t>DESEMBOLSO CARLA FERNANDA MUÑOZ ROJAS</t>
  </si>
  <si>
    <t>CARLA FERNANDA MUÑOZ ROJAS</t>
  </si>
  <si>
    <t>DESEMBOLSO CARLOS ANDRES GIRALDO CASTILLO</t>
  </si>
  <si>
    <t>CARLOS ANDRES GIRALDO CASTILLO</t>
  </si>
  <si>
    <t>17</t>
  </si>
  <si>
    <t>NEIRED BRAVO MUÑOZ</t>
  </si>
  <si>
    <t>DESEMBOLSO NEIRED BRAVO MUÑOZ</t>
  </si>
  <si>
    <t>DESEMBOLSO JHON SEBASTIAN LOSADA ROJAS</t>
  </si>
  <si>
    <t>JHON SEBASTIAN LOSADA ROJAS</t>
  </si>
  <si>
    <t>DESEMBOLSO JEFERSSON ERAZO ROMERO</t>
  </si>
  <si>
    <t>JEFERSSON ERAZO ROMERO</t>
  </si>
  <si>
    <t>DESEMBOLSO ANYI JULIETH POLO RIOS</t>
  </si>
  <si>
    <t>ANYI JULIETH POLO RIOS</t>
  </si>
  <si>
    <t>DESEMBOLSO UBERNEY GENOY RAMOS</t>
  </si>
  <si>
    <t>UBERNEY GENOY RAMOS</t>
  </si>
  <si>
    <t>DESEMBOLSO INDIRA NATALIA CORDOBA  VARGAS</t>
  </si>
  <si>
    <t>INDIRA NATALIA CORDOBA VARGAS</t>
  </si>
  <si>
    <t>MARIA CAMILA CASTAÑEDA MOTTA</t>
  </si>
  <si>
    <t>DESEMBOLSO MARIA CAMILA CASTAÑEDA MOTTA</t>
  </si>
  <si>
    <t>DESEMBOLSO ROSI CAROLINA PARRA CHILITO</t>
  </si>
  <si>
    <t>ROSI CAROLINA PARRA CHILITO</t>
  </si>
  <si>
    <t>DESEMBOLSO JENIFER MILDRETH PARRA GASCA</t>
  </si>
  <si>
    <t>JENIFER MILDRETH PARRA GASCA</t>
  </si>
  <si>
    <t>DESEMBOLSO WALTER FABIAN PIÑEROS VASQUEZ</t>
  </si>
  <si>
    <t>WALTER FABIAN PIÑEROS VASQUEZ</t>
  </si>
  <si>
    <t>DESEMBOLSO NOELIA MUÑOZ GOMEZ</t>
  </si>
  <si>
    <t>NOELIA MUÑOZ GOMEZ</t>
  </si>
  <si>
    <t>DESEMBOLSO DANNA VALENTINA ANACONA CASTAÑEDA</t>
  </si>
  <si>
    <t>DANNA VALENTINA ANACONA CASTAÑEDA</t>
  </si>
  <si>
    <t>DESEMBOLSO SANDRA MILENA TORRES VARGAS</t>
  </si>
  <si>
    <t>SANDRA MILENA TORRES VARGAS</t>
  </si>
  <si>
    <t>DESEMBOLSO ELIANA FERNANDA TRUJILLO VARGAS</t>
  </si>
  <si>
    <t>ELIANA FERNANDA TRUJILLO VARGAS</t>
  </si>
  <si>
    <t>DESEMBOLSO YORJE ARMANDO ROJAS ORTIZ</t>
  </si>
  <si>
    <t>YORJE ARMANDO ROJAS ORTIZ</t>
  </si>
  <si>
    <t>PAGO LETRA FELIPE ANDRES PEÑA FIGUEROA</t>
  </si>
  <si>
    <t>PAGO LETRA EDWIN ARNOLD ORTIZ PINO</t>
  </si>
  <si>
    <t>PAGO DATACREDITOS (JHON SEBASTIAN LOSADA ROJAS, MARYORI SAMBONI MACIAS, JEFERSSON ERAZO ROMERO, DIEGO ARMANDO VEGA RENZA, ELIANA FERNANDA TRUJILLO VARGAS)</t>
  </si>
  <si>
    <t>DESEMBOLSO INGRID LORENA LUGO CABRERA</t>
  </si>
  <si>
    <t>PAGO LETRA CARLA FERNANDA MUÑOZ ROJAS</t>
  </si>
  <si>
    <t>INGRID LORENA LUGO CABRERA</t>
  </si>
  <si>
    <t>PAGO LETRA INGRID LORENA LUGO</t>
  </si>
  <si>
    <t>18</t>
  </si>
  <si>
    <t>PAGO LETRA DERLY IMBUS SANCHEZ</t>
  </si>
  <si>
    <t>PAGO LETRA JHON SEBASTIAN LOSADA ROJAS</t>
  </si>
  <si>
    <t>PAGO LETRA ANYI JULIETH POLO RIOS</t>
  </si>
  <si>
    <t>PAGO LETRA JEFERSSON ERAZO ROMERO</t>
  </si>
  <si>
    <t>PAGO LETRA ANGIE KATERINE CARDOSO GONZALEZ</t>
  </si>
  <si>
    <t>PAGO LETRA INGRID LORENA LUGO CABRERA</t>
  </si>
  <si>
    <t>PAGO LETRA UBERNEY GENOY RAMOS</t>
  </si>
  <si>
    <t>PAGO LETRA INDIRA NATALIA CORDOBA VARGAS</t>
  </si>
  <si>
    <t>10,11,12,13,14,15,16,17,18</t>
  </si>
  <si>
    <t>SALDO LETRAS ANDRES CAMILO BOLAÑOS SALAZAR</t>
  </si>
  <si>
    <t>SALDO LETRAS DIEGO FERNANDO IJAJI GOMEZ</t>
  </si>
  <si>
    <t>PAGO LETRA ELIANA FERNANDA TRUJILLO VARGAS</t>
  </si>
  <si>
    <t>PAGO DATACREDITOS (INDIRA NATALIA CORDOBA VARGAS, NOELIA MUÑOZ GOMEZ, ROSI CAROLINA PARRA CHILITO, JENIFER MILDRETH PARRA GASCA, MARIA CAMILA CASTAÑEDA MOTTA, WALTER FABIAN PIÑEROS VASQUEZ, DANNA VALENTINA ANACONA CASTAÑEDA, SANDRA MILENA TORRES VARGAS, JONNY ANDRES ANACONA FERNANDEZ)</t>
  </si>
  <si>
    <t>6,7,8,9</t>
  </si>
  <si>
    <t>10,11,12</t>
  </si>
  <si>
    <t>SALDO LETRAS LINA PAOLA SOLANO CARVAJAL</t>
  </si>
  <si>
    <t>SALDO LETRA MARIA CAMILA CASTRO PARRA</t>
  </si>
  <si>
    <t>ABONO LETRA MARIA CAMILA CASTRO PARRA</t>
  </si>
  <si>
    <t>27</t>
  </si>
  <si>
    <t>PAGO LETRAS FAUSTO CRUZ SIERRA</t>
  </si>
  <si>
    <t>PAGO LETRA ROSI CAROLINA PARRA CHILITO</t>
  </si>
  <si>
    <t>PAGO LETRA MARIA CAMILA CASTAÑEDA MOTTA</t>
  </si>
  <si>
    <t>PAGO LETRA DANNA VALENTINA ANACONA CASTAÑEDA</t>
  </si>
  <si>
    <t>PAGO LETRA WALTER FABIAN PIÑEROS VASQUEZ</t>
  </si>
  <si>
    <t>PAGO LETRA SANDRA MILENA TORRES VARGAS</t>
  </si>
  <si>
    <t>28</t>
  </si>
  <si>
    <t>PAGO LETRA JENIFER MILDRETH PARRA GASCA</t>
  </si>
  <si>
    <t>PAGO LETRA NOELIA MUÑOZ GOMEZ</t>
  </si>
  <si>
    <t>PAGO LETRA YORJE ARMANDO ROJAS ORTIZ</t>
  </si>
  <si>
    <t>PAGO DATACREDITOS (YORJE ARMANDO ROJAS ORTIZ, FERNANDO TRUJILLO TORRES, CARLA YULIETH IBAÑEZ HOYOS, PAOLA ALEXANDRA CALDERON GOMEZ, GREISSY BRIYID OVIEDO RAMIREZ, JHON JAIRO CORTES CRISPIN, OSCAR QUINAYAS ERAZO, JHON JAIRO ROJAS CASTRO, DARVIN ESCESI ALVEAR SAMBONI, JUAN FELIPE SERRATO PARRA, JUAN CARLOS NUÑEZ PARRA, LINA MARCELA MONTOYA BAUTISTA, MIGUEL ANGEL NUÑEZ BURGOS, LYDA CONSTANZA OSPINA QUINTERO)</t>
  </si>
  <si>
    <t>DESEMBOLSO CARLA YULIETH IBAÑEZ HOYOS</t>
  </si>
  <si>
    <t>CARLA YULIETH IBAÑEZ HOYOS</t>
  </si>
  <si>
    <t>DESEMBOLSO PAOLA ALEXANDRA CALDERON GOMEZ</t>
  </si>
  <si>
    <t>PAOLA ALEXANDRA CALDERON GOMEZ</t>
  </si>
  <si>
    <t>PAGO LETRA PAOLA ALEXANDRA CALDERON GOMEZ</t>
  </si>
  <si>
    <t>29</t>
  </si>
  <si>
    <t>7,8,9,10</t>
  </si>
  <si>
    <t>PAGO LETRAS MARLEY SOLANYI BARRERA PINEDA</t>
  </si>
  <si>
    <t>PAGO LETRA CARLA YULIETH IBAÑEZ HOYOS</t>
  </si>
  <si>
    <t>DESEMBOLSO FERNANDO TRUJILLO TORRES</t>
  </si>
  <si>
    <t>DESEMBOLSO JHONATAN FERNANDO CORDOBA RIVERA</t>
  </si>
  <si>
    <t>DESEMBOLSO GREISSY BRIYID OVIEDO RAMIREZ</t>
  </si>
  <si>
    <t>DESEMBOLSO MICHAEL STIVEN LOMELING JUNCA</t>
  </si>
  <si>
    <t>DESEMBOLSO DIANA MARCELA SAMBONI ADARMES</t>
  </si>
  <si>
    <t>DESEMBOLSO MARIA NELCY PARRA PARRA</t>
  </si>
  <si>
    <t>DESEMBOLSO OSCAR QUINAYAS ERAZO</t>
  </si>
  <si>
    <t>DESEMBOLSO JUAN CARLOS NUÑEZ PARRA</t>
  </si>
  <si>
    <t>DESEMBOLSO DARVIN ESCSI ALVEAR SAMBONI</t>
  </si>
  <si>
    <t>DESEMBOLSO JOHN JAIRO ROJAS CASTRO</t>
  </si>
  <si>
    <t>FERNANDO TRUJILLO TORRES</t>
  </si>
  <si>
    <t>PAGO LETRA FERNANDO TRUJILLO TORRES</t>
  </si>
  <si>
    <t>PAGO DATACREDITOS (ANYI PAOLA PERAFAN HOYOS, KAREN DANIELA TAFUR VASQUEZ, GRACIELA OCAMPO GONZALEZ, NEPONUCENO MONTOYA RAMIREZ, NICOLAS FORERO CASTRO, ROMEL OBANDO GONZALEZ, ANYELA ESNEIDA ÑAÑEZ MALES, ERIKA CATALINA SEGURA MARIN, ALEXANDER GUTIERREZ)</t>
  </si>
  <si>
    <t>JHONATAN FERNANDO CORDOBA RIVERA</t>
  </si>
  <si>
    <t>GREISSY BRIYID OVIEDO RAMIREZ</t>
  </si>
  <si>
    <t>PAGO LETRA GREISSY BRIYID OVIEDO RAMIREZ</t>
  </si>
  <si>
    <t>ABONO LETRA DANNA VALENTINA ANACONA CASTAÑEDA</t>
  </si>
  <si>
    <t>MICHAEL STIVEN LOMELING JUNCA</t>
  </si>
  <si>
    <t>DIANA MARCELA SAMBONI ADARMES</t>
  </si>
  <si>
    <t>PAGO LETRA DIANA MARCELA SAMBONI ADARMES</t>
  </si>
  <si>
    <t>MARIA NELCY PARRA PARRA</t>
  </si>
  <si>
    <t>OSCAR QUINAYAS ERAZO</t>
  </si>
  <si>
    <t>JUAN CARLOS NUÑEZ PARRA</t>
  </si>
  <si>
    <t>DARVIN ESCSI ALVEAR SAMBONI</t>
  </si>
  <si>
    <t>NEQUI</t>
  </si>
  <si>
    <t>JOHN JAIRO ROJAS CASTRO</t>
  </si>
  <si>
    <t xml:space="preserve">  </t>
  </si>
  <si>
    <t>DESEMBOLSO ALEXANDER GUTIERREZ OCHOA</t>
  </si>
  <si>
    <t>DESEMBOLSO ANYI PAOLA PEFARAN HOYOS</t>
  </si>
  <si>
    <t>DESEMBOLSO JUAN DIEGO ARIZA ROJAS</t>
  </si>
  <si>
    <t>DESEMBOLSO ANYELA ESNEIDA ÑAÑEZ MALES</t>
  </si>
  <si>
    <t>DESEMBOLSO GRACIELA OCAMPO GONZALEZ</t>
  </si>
  <si>
    <t>DESEMBOLSO NEPONUCENO MONTOYA RAMIREZ</t>
  </si>
  <si>
    <t>DESEMBOLSO ISMELDA TOVAR PATIÑO</t>
  </si>
  <si>
    <t>DESEMBOLSO ALBERTO MOLINA ROJAS</t>
  </si>
  <si>
    <t>DESEMBOLSO DIEGO ARMANDO VEGA RENZA</t>
  </si>
  <si>
    <t>ALEXANDER GUTIERREZ OCHOA</t>
  </si>
  <si>
    <t>ANYI PAOLA PERAFAN HOYOS</t>
  </si>
  <si>
    <t>JUAN DIEGO ARIZA ROJAS</t>
  </si>
  <si>
    <t>ANYELA ESNEIDA ÑAÑEZ MALES</t>
  </si>
  <si>
    <t>GRACIELA OCAMPO GONZALEZ</t>
  </si>
  <si>
    <t>NEPONUCENO MONTOYA RAMIREZ</t>
  </si>
  <si>
    <t>ISMELDA TOVAR PATIÑO</t>
  </si>
  <si>
    <t>ALBERTO MOLINA ROJAS</t>
  </si>
  <si>
    <t>DIEGO ARMANDO VEGA RENZA</t>
  </si>
  <si>
    <t>PAGO LETRA JHONATAN FERNANDO CORDOBA RIVERA</t>
  </si>
  <si>
    <t>PAGO LETRA MICHAEL STIVEN LOMELING JUNCA</t>
  </si>
  <si>
    <t>PAGO LETRA OSCAR QUINAYAS ERAZO</t>
  </si>
  <si>
    <t>PAGO LETRA DARVIN ESCSI ALVEAR SAMBONI</t>
  </si>
  <si>
    <t>SALDO LETRA DANNA VALENTINA ANACONA CASTAÑEDA</t>
  </si>
  <si>
    <t>PAGO LETRAS LEIDY TATIANA MORALES PALADINES</t>
  </si>
  <si>
    <t>PAGO LETRA MARIA NELCY PARRA PARRA</t>
  </si>
  <si>
    <t>PAGO LETRA CARLOS ANDRES GIRALDO CASTILLO</t>
  </si>
  <si>
    <t>PAGO LETRA JUAN CARLOS NUÑEZ PARRA</t>
  </si>
  <si>
    <t>ABONO LETRA JUAN CARLOS NUÑEZ PARRA</t>
  </si>
  <si>
    <t>PAGO LETRA NEPONUCENO MONTOYA RAMIREZ</t>
  </si>
  <si>
    <t>ABONO LETRA MAURICIO TORRES SERRATO</t>
  </si>
  <si>
    <t>PAGO LETRA JUAN DIEGO ARIZA ROJAS</t>
  </si>
  <si>
    <t>PAGO LETRAS DEISON ARLEY RIVILLOS GUTIERRES</t>
  </si>
  <si>
    <t>DESEMBOLSO NOHORA ELCY MADRIGAL VALENCIA</t>
  </si>
  <si>
    <t>NOHORA ELCY MADRIGAL VALENCUA</t>
  </si>
  <si>
    <t>PAGO LETRA GRACIELA OCAMPO GONZALEZ</t>
  </si>
  <si>
    <t>PAGO LETRA ALEXANDER GUTIERREZ OCHOA</t>
  </si>
  <si>
    <t>24</t>
  </si>
  <si>
    <t>PAGO LETRA ALBERTO MOLINA ROJAS</t>
  </si>
  <si>
    <t>PAGO LETRA ANYI PAOLA PERAFAN HOYOS</t>
  </si>
  <si>
    <t>PAGO DATACREDITOS (DEINER PALACIO GARZON, ARNULFO PALACIO AVILES)</t>
  </si>
  <si>
    <t>ABONO LETRA JOHN JAIRO ROJAS CASTRO</t>
  </si>
  <si>
    <t>SALDO LETRA JOHN JAIRO ROJAS CASTRO</t>
  </si>
  <si>
    <t>PAGO LETRA ISMELDA TOVAR PATIÑO</t>
  </si>
  <si>
    <t>PAGO LETRA ANYELA ESNEIDA ÑAÑEZ MALES</t>
  </si>
  <si>
    <t>DESEMBOLSO KEINER JULIAN MARTINEZ ROCHA</t>
  </si>
  <si>
    <t>KEINER JULIAN MARTINEZ ROCHA</t>
  </si>
  <si>
    <t>15</t>
  </si>
  <si>
    <t>PAGO LETRAS GISELLA PERAFAN HOYOS</t>
  </si>
  <si>
    <t>PAGO LETRAS DERLY IMBUS SANCHEZ</t>
  </si>
  <si>
    <t>SALDO LETRA JUAN CARLOS NUÑEZ PARRA</t>
  </si>
  <si>
    <t>PAGO LETRA NOHORA ELCY MADRIGAL VALENCUA</t>
  </si>
  <si>
    <t>PAGO LETRA JOHN JAIRO ROJAS CASTRO</t>
  </si>
  <si>
    <t>ABONO LETRA JULIAN FERNANDO ACHURY BRAVO</t>
  </si>
  <si>
    <t>ABONO LETRA EDI ALEXANDER JIMENEZ VARGAS</t>
  </si>
  <si>
    <t xml:space="preserve">DESEMBOLSO MILLER SALINAS </t>
  </si>
  <si>
    <t>MILLER SALINAS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</si>
</sst>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 #,##0.00;[Red]\-&quot;$&quot;\ #,##0.00"/>
    <numFmt numFmtId="44" formatCode="_-&quot;$&quot;\ * #,##0.00_-;\-&quot;$&quot;\ * #,##0.00_-;_-&quot;$&quot;\ * &quot;-&quot;??_-;_-@_-"/>
    <numFmt numFmtId="164" formatCode="0.0%"/>
    <numFmt numFmtId="165" formatCode="_-&quot;$&quot;\ * #,##0_-;\-&quot;$&quot;\ * #,##0_-;_-&quot;$&quot;\ * &quot;-&quot;??_-;_-@_-"/>
    <numFmt numFmtId="166" formatCode="dd/mm/yyyy;@"/>
  </numFmts>
  <fonts count="20"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6"/>
      <color theme="1"/>
      <name val="Calibri"/>
      <family val="2"/>
      <scheme val="minor"/>
    </font>
    <font>
      <sz val="14"/>
      <name val="Calibri"/>
      <family val="2"/>
      <scheme val="minor"/>
    </font>
    <font>
      <b/>
      <sz val="11"/>
      <color indexed="8"/>
      <name val="Arial"/>
      <family val="2"/>
    </font>
    <font>
      <b/>
      <sz val="8"/>
      <color indexed="8"/>
      <name val="Arial"/>
      <family val="2"/>
    </font>
    <font>
      <b/>
      <sz val="10"/>
      <color indexed="8"/>
      <name val="Arial"/>
      <family val="2"/>
    </font>
    <font>
      <sz val="10"/>
      <color theme="1"/>
      <name val="Calibri"/>
      <family val="2"/>
      <scheme val="minor"/>
    </font>
    <font>
      <sz val="8"/>
      <color indexed="8"/>
      <name val="Arial"/>
      <family val="2"/>
    </font>
    <font>
      <sz val="10"/>
      <color theme="1"/>
      <name val="Calibri"/>
      <family val="2"/>
    </font>
    <font>
      <sz val="8"/>
      <color theme="1"/>
      <name val="Arial"/>
      <family val="2"/>
    </font>
    <font>
      <sz val="9"/>
      <color indexed="81"/>
      <name val="Tahoma"/>
      <family val="2"/>
    </font>
    <font>
      <b/>
      <sz val="9"/>
      <color indexed="81"/>
      <name val="Tahoma"/>
      <family val="2"/>
    </font>
    <font>
      <sz val="8"/>
      <name val="Arial"/>
      <family val="2"/>
    </font>
    <font>
      <b/>
      <sz val="11"/>
      <color rgb="FFFF0000"/>
      <name val="Calibri"/>
      <family val="2"/>
      <scheme val="minor"/>
    </font>
    <font>
      <sz val="11"/>
      <name val="Calibri"/>
      <family val="2"/>
      <scheme val="minor"/>
    </font>
    <font>
      <b/>
      <sz val="11"/>
      <color theme="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92D050"/>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16">
    <xf numFmtId="0" fontId="0" fillId="0" borderId="0" xfId="0"/>
    <xf numFmtId="0" fontId="0" fillId="0" borderId="0" xfId="0" applyProtection="1">
      <protection locked="0"/>
    </xf>
    <xf numFmtId="0" fontId="0" fillId="0" borderId="0" xfId="0" applyProtection="1">
      <protection hidden="1"/>
    </xf>
    <xf numFmtId="0" fontId="0" fillId="0" borderId="0" xfId="0" applyAlignment="1" applyProtection="1">
      <alignment horizontal="right"/>
      <protection hidden="1"/>
    </xf>
    <xf numFmtId="0" fontId="0" fillId="0" borderId="1" xfId="0" applyBorder="1" applyProtection="1">
      <protection hidden="1"/>
    </xf>
    <xf numFmtId="0" fontId="0" fillId="0" borderId="2" xfId="0" applyBorder="1" applyProtection="1">
      <protection hidden="1"/>
    </xf>
    <xf numFmtId="0" fontId="0" fillId="0" borderId="2" xfId="0" applyBorder="1" applyAlignment="1" applyProtection="1">
      <alignment horizontal="right"/>
      <protection hidden="1"/>
    </xf>
    <xf numFmtId="0" fontId="0" fillId="0" borderId="3" xfId="0" applyBorder="1" applyProtection="1">
      <protection hidden="1"/>
    </xf>
    <xf numFmtId="0" fontId="0" fillId="0" borderId="4" xfId="0" applyBorder="1" applyProtection="1">
      <protection hidden="1"/>
    </xf>
    <xf numFmtId="0" fontId="0" fillId="0" borderId="5" xfId="0" applyBorder="1" applyProtection="1">
      <protection hidden="1"/>
    </xf>
    <xf numFmtId="0" fontId="2" fillId="2" borderId="0" xfId="0" applyFont="1" applyFill="1" applyProtection="1">
      <protection hidden="1"/>
    </xf>
    <xf numFmtId="0" fontId="3" fillId="0" borderId="0" xfId="0" applyFont="1" applyAlignment="1" applyProtection="1">
      <alignment horizontal="right"/>
      <protection hidden="1"/>
    </xf>
    <xf numFmtId="0" fontId="2" fillId="0" borderId="0" xfId="0" applyFont="1" applyProtection="1">
      <protection hidden="1"/>
    </xf>
    <xf numFmtId="0" fontId="0" fillId="0" borderId="6" xfId="0" applyBorder="1" applyProtection="1">
      <protection hidden="1"/>
    </xf>
    <xf numFmtId="0" fontId="4" fillId="0" borderId="7" xfId="0" applyFont="1" applyBorder="1" applyProtection="1">
      <protection hidden="1"/>
    </xf>
    <xf numFmtId="8" fontId="4" fillId="0" borderId="7" xfId="0" applyNumberFormat="1" applyFont="1" applyBorder="1" applyAlignment="1" applyProtection="1">
      <alignment horizontal="center"/>
      <protection hidden="1"/>
    </xf>
    <xf numFmtId="0" fontId="0" fillId="0" borderId="8" xfId="0" applyBorder="1" applyProtection="1">
      <protection hidden="1"/>
    </xf>
    <xf numFmtId="165" fontId="0" fillId="0" borderId="0" xfId="0" applyNumberFormat="1" applyAlignment="1" applyProtection="1">
      <alignment horizontal="right"/>
      <protection hidden="1"/>
    </xf>
    <xf numFmtId="165" fontId="0" fillId="0" borderId="0" xfId="0" applyNumberFormat="1" applyProtection="1">
      <protection hidden="1"/>
    </xf>
    <xf numFmtId="44" fontId="0" fillId="0" borderId="0" xfId="1" applyFont="1" applyAlignment="1" applyProtection="1">
      <alignment horizontal="right"/>
      <protection hidden="1"/>
    </xf>
    <xf numFmtId="164" fontId="0" fillId="0" borderId="0" xfId="2" applyNumberFormat="1" applyFont="1" applyAlignment="1" applyProtection="1">
      <alignment horizontal="right"/>
      <protection hidden="1"/>
    </xf>
    <xf numFmtId="10" fontId="3" fillId="0" borderId="0" xfId="2" applyNumberFormat="1" applyFont="1" applyBorder="1" applyAlignment="1" applyProtection="1">
      <alignment horizontal="right"/>
      <protection hidden="1"/>
    </xf>
    <xf numFmtId="0" fontId="3" fillId="0" borderId="5" xfId="0" applyFont="1" applyBorder="1" applyProtection="1">
      <protection hidden="1"/>
    </xf>
    <xf numFmtId="0" fontId="6" fillId="0" borderId="0" xfId="0" applyFont="1" applyAlignment="1" applyProtection="1">
      <alignment horizontal="right"/>
      <protection hidden="1"/>
    </xf>
    <xf numFmtId="165" fontId="6" fillId="0" borderId="0" xfId="1" applyNumberFormat="1" applyFont="1" applyBorder="1" applyAlignment="1" applyProtection="1">
      <alignment horizontal="right"/>
      <protection hidden="1"/>
    </xf>
    <xf numFmtId="165" fontId="2" fillId="0" borderId="0" xfId="1" applyNumberFormat="1" applyFont="1" applyBorder="1" applyAlignment="1" applyProtection="1">
      <alignment horizontal="right"/>
    </xf>
    <xf numFmtId="165" fontId="2" fillId="0" borderId="0" xfId="1" applyNumberFormat="1" applyFont="1" applyBorder="1" applyAlignment="1" applyProtection="1">
      <alignment horizontal="right"/>
      <protection hidden="1"/>
    </xf>
    <xf numFmtId="0" fontId="2" fillId="0" borderId="0" xfId="0" applyFont="1" applyAlignment="1" applyProtection="1">
      <alignment horizontal="right"/>
      <protection locked="0"/>
    </xf>
    <xf numFmtId="0" fontId="0" fillId="4" borderId="0" xfId="0" applyFill="1"/>
    <xf numFmtId="0" fontId="8" fillId="4" borderId="0" xfId="0" applyFont="1" applyFill="1" applyBorder="1"/>
    <xf numFmtId="0" fontId="0" fillId="4" borderId="0" xfId="0" applyFont="1" applyFill="1" applyBorder="1"/>
    <xf numFmtId="3" fontId="0" fillId="4" borderId="0" xfId="0" applyNumberFormat="1" applyFont="1" applyFill="1" applyBorder="1"/>
    <xf numFmtId="3" fontId="0" fillId="4" borderId="10" xfId="0" applyNumberFormat="1" applyFont="1" applyFill="1" applyBorder="1"/>
    <xf numFmtId="0" fontId="0" fillId="4" borderId="0" xfId="0" applyFont="1" applyFill="1"/>
    <xf numFmtId="3" fontId="0" fillId="4" borderId="0" xfId="0" applyNumberFormat="1" applyFill="1"/>
    <xf numFmtId="0" fontId="9" fillId="4" borderId="11" xfId="0" applyFont="1" applyFill="1" applyBorder="1" applyAlignment="1"/>
    <xf numFmtId="0" fontId="8" fillId="4" borderId="0" xfId="0" applyFont="1" applyFill="1" applyBorder="1" applyAlignment="1">
      <alignment horizontal="center"/>
    </xf>
    <xf numFmtId="0" fontId="10" fillId="4" borderId="14" xfId="0" applyFont="1" applyFill="1" applyBorder="1" applyAlignment="1"/>
    <xf numFmtId="0" fontId="0" fillId="4" borderId="0"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49" fontId="0" fillId="4" borderId="14" xfId="0" applyNumberFormat="1" applyFill="1" applyBorder="1" applyAlignment="1">
      <alignment horizontal="center"/>
    </xf>
    <xf numFmtId="49" fontId="0" fillId="4" borderId="19" xfId="0" applyNumberFormat="1" applyFill="1" applyBorder="1" applyAlignment="1">
      <alignment horizontal="center"/>
    </xf>
    <xf numFmtId="49" fontId="0" fillId="4" borderId="16" xfId="0" applyNumberFormat="1" applyFont="1" applyFill="1" applyBorder="1" applyAlignment="1">
      <alignment horizontal="center"/>
    </xf>
    <xf numFmtId="0" fontId="0" fillId="4" borderId="14" xfId="0" applyFont="1" applyFill="1" applyBorder="1"/>
    <xf numFmtId="0" fontId="0" fillId="4" borderId="15" xfId="0" applyFont="1" applyFill="1" applyBorder="1"/>
    <xf numFmtId="3" fontId="0" fillId="4" borderId="15" xfId="0" applyNumberFormat="1" applyFont="1" applyFill="1" applyBorder="1"/>
    <xf numFmtId="3" fontId="0" fillId="4" borderId="16" xfId="0" applyNumberFormat="1" applyFont="1" applyFill="1" applyBorder="1"/>
    <xf numFmtId="0" fontId="8" fillId="4" borderId="9" xfId="0" applyFont="1" applyFill="1" applyBorder="1"/>
    <xf numFmtId="0" fontId="11" fillId="4" borderId="0" xfId="0" applyFont="1" applyFill="1" applyBorder="1"/>
    <xf numFmtId="3" fontId="8" fillId="4" borderId="0" xfId="0" applyNumberFormat="1" applyFont="1" applyFill="1" applyBorder="1" applyAlignment="1">
      <alignment horizontal="center"/>
    </xf>
    <xf numFmtId="3" fontId="8" fillId="4" borderId="10" xfId="0" applyNumberFormat="1"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ill="1" applyBorder="1" applyAlignment="1">
      <alignment horizontal="center"/>
    </xf>
    <xf numFmtId="3" fontId="10" fillId="3" borderId="18" xfId="0" applyNumberFormat="1" applyFont="1" applyFill="1" applyBorder="1"/>
    <xf numFmtId="3" fontId="0" fillId="4" borderId="18" xfId="0" applyNumberFormat="1" applyFill="1" applyBorder="1"/>
    <xf numFmtId="3" fontId="0" fillId="4" borderId="18" xfId="0" applyNumberFormat="1" applyFont="1" applyFill="1" applyBorder="1"/>
    <xf numFmtId="3" fontId="10" fillId="4" borderId="18" xfId="0" applyNumberFormat="1" applyFont="1" applyFill="1" applyBorder="1"/>
    <xf numFmtId="14" fontId="0" fillId="4" borderId="18" xfId="0" applyNumberFormat="1" applyFill="1" applyBorder="1" applyAlignment="1">
      <alignment horizontal="center"/>
    </xf>
    <xf numFmtId="3" fontId="12" fillId="3" borderId="18" xfId="0" applyNumberFormat="1" applyFont="1" applyFill="1" applyBorder="1"/>
    <xf numFmtId="0" fontId="8" fillId="4" borderId="17" xfId="0" applyFont="1" applyFill="1" applyBorder="1"/>
    <xf numFmtId="0" fontId="0" fillId="4" borderId="18" xfId="0" applyFont="1" applyFill="1" applyBorder="1"/>
    <xf numFmtId="3" fontId="9" fillId="5" borderId="18" xfId="0" applyNumberFormat="1" applyFont="1" applyFill="1" applyBorder="1"/>
    <xf numFmtId="0" fontId="0" fillId="4" borderId="9" xfId="0" applyFont="1" applyFill="1" applyBorder="1" applyAlignment="1">
      <alignment horizontal="center"/>
    </xf>
    <xf numFmtId="0" fontId="0" fillId="4" borderId="11" xfId="0" applyFont="1" applyFill="1" applyBorder="1"/>
    <xf numFmtId="0" fontId="0" fillId="4" borderId="12" xfId="0" applyFont="1" applyFill="1" applyBorder="1"/>
    <xf numFmtId="0" fontId="8" fillId="4" borderId="11" xfId="0" applyFont="1" applyFill="1" applyBorder="1" applyAlignment="1">
      <alignment horizontal="center"/>
    </xf>
    <xf numFmtId="0" fontId="8" fillId="4" borderId="22" xfId="0" applyFont="1" applyFill="1" applyBorder="1" applyAlignment="1">
      <alignment horizontal="center"/>
    </xf>
    <xf numFmtId="0" fontId="0" fillId="4" borderId="19" xfId="0" applyFont="1" applyFill="1" applyBorder="1"/>
    <xf numFmtId="0" fontId="0" fillId="4" borderId="22" xfId="0" applyFont="1" applyFill="1" applyBorder="1" applyAlignment="1"/>
    <xf numFmtId="0" fontId="0" fillId="4" borderId="18" xfId="0" applyFont="1" applyFill="1" applyBorder="1" applyAlignment="1">
      <alignment horizontal="center"/>
    </xf>
    <xf numFmtId="3" fontId="10" fillId="3" borderId="10" xfId="0" applyNumberFormat="1" applyFont="1" applyFill="1" applyBorder="1"/>
    <xf numFmtId="3" fontId="9" fillId="5" borderId="21" xfId="0" applyNumberFormat="1" applyFont="1" applyFill="1" applyBorder="1"/>
    <xf numFmtId="0" fontId="0" fillId="4" borderId="0" xfId="0" applyFill="1" applyBorder="1"/>
    <xf numFmtId="3" fontId="0" fillId="4" borderId="0" xfId="0" applyNumberFormat="1" applyFont="1" applyFill="1"/>
    <xf numFmtId="16" fontId="0" fillId="0" borderId="0" xfId="0" applyNumberFormat="1"/>
    <xf numFmtId="3" fontId="0" fillId="0" borderId="0" xfId="0" applyNumberFormat="1"/>
    <xf numFmtId="0" fontId="0" fillId="0" borderId="0" xfId="0" applyAlignment="1">
      <alignment horizontal="center"/>
    </xf>
    <xf numFmtId="166" fontId="0" fillId="0" borderId="0" xfId="0" applyNumberFormat="1"/>
    <xf numFmtId="0" fontId="0" fillId="4" borderId="18" xfId="0" applyFill="1" applyBorder="1" applyAlignment="1">
      <alignment horizontal="center"/>
    </xf>
    <xf numFmtId="0" fontId="0" fillId="0" borderId="0" xfId="0" applyBorder="1"/>
    <xf numFmtId="3" fontId="0" fillId="0" borderId="0" xfId="0" applyNumberFormat="1" applyBorder="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0" fontId="13" fillId="4" borderId="17" xfId="0" applyFont="1" applyFill="1" applyBorder="1" applyAlignment="1">
      <alignment horizontal="left"/>
    </xf>
    <xf numFmtId="0" fontId="13" fillId="4" borderId="20" xfId="0" applyFont="1" applyFill="1" applyBorder="1" applyAlignment="1">
      <alignment horizontal="left"/>
    </xf>
    <xf numFmtId="0" fontId="13" fillId="4" borderId="21" xfId="0" applyFont="1" applyFill="1" applyBorder="1" applyAlignment="1">
      <alignment horizontal="left"/>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0" fillId="0" borderId="0" xfId="0" applyFill="1" applyBorder="1"/>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3" fontId="0" fillId="7" borderId="0" xfId="0" applyNumberFormat="1" applyFill="1"/>
    <xf numFmtId="0" fontId="0" fillId="4" borderId="18" xfId="0"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0" fillId="4" borderId="18" xfId="0"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0" fillId="4" borderId="18" xfId="0"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0" fillId="4" borderId="18" xfId="0"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3" fontId="0" fillId="0" borderId="0" xfId="0" applyNumberFormat="1" applyFont="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0" fillId="4" borderId="18" xfId="0" applyFill="1" applyBorder="1" applyAlignment="1">
      <alignment horizontal="center"/>
    </xf>
    <xf numFmtId="3" fontId="0" fillId="8" borderId="0" xfId="0" applyNumberFormat="1" applyFill="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3" fontId="0" fillId="9" borderId="0" xfId="0" applyNumberFormat="1" applyFill="1"/>
    <xf numFmtId="0" fontId="17" fillId="0" borderId="0" xfId="0" applyFont="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3" fontId="0" fillId="4" borderId="17" xfId="0" applyNumberFormat="1" applyFill="1" applyBorder="1"/>
    <xf numFmtId="3" fontId="0" fillId="4" borderId="20" xfId="0" applyNumberFormat="1" applyFont="1" applyFill="1" applyBorder="1"/>
    <xf numFmtId="3" fontId="0" fillId="4" borderId="21" xfId="0" applyNumberFormat="1" applyFont="1" applyFill="1" applyBorder="1"/>
    <xf numFmtId="3" fontId="0" fillId="0" borderId="0" xfId="0" applyNumberFormat="1" applyFill="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9" fontId="0" fillId="0" borderId="0" xfId="2" applyFont="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14" fontId="0" fillId="0" borderId="0" xfId="0" applyNumberFormat="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3" fontId="18" fillId="0" borderId="0" xfId="0" applyNumberFormat="1" applyFont="1"/>
    <xf numFmtId="0" fontId="0" fillId="4" borderId="18" xfId="0" applyFill="1" applyBorder="1" applyAlignment="1">
      <alignment horizontal="center"/>
    </xf>
    <xf numFmtId="3" fontId="19" fillId="0" borderId="0" xfId="0" applyNumberFormat="1" applyFont="1"/>
    <xf numFmtId="0" fontId="8" fillId="4" borderId="18" xfId="0" applyFont="1" applyFill="1" applyBorder="1" applyAlignment="1">
      <alignment horizontal="center"/>
    </xf>
    <xf numFmtId="0" fontId="8" fillId="4" borderId="17" xfId="0" applyFont="1" applyFill="1" applyBorder="1" applyAlignment="1">
      <alignment horizontal="center"/>
    </xf>
    <xf numFmtId="0" fontId="8" fillId="4" borderId="11" xfId="0" applyFont="1"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8" xfId="0" applyFont="1" applyFill="1" applyBorder="1" applyAlignment="1">
      <alignment horizontal="center"/>
    </xf>
    <xf numFmtId="0" fontId="0" fillId="4" borderId="18" xfId="0" applyFill="1" applyBorder="1" applyAlignment="1">
      <alignment horizontal="center"/>
    </xf>
    <xf numFmtId="0" fontId="19" fillId="0" borderId="0" xfId="0" applyFont="1"/>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1" xfId="0" applyFont="1" applyFill="1" applyBorder="1" applyAlignment="1">
      <alignment horizontal="center"/>
    </xf>
    <xf numFmtId="0" fontId="8" fillId="4" borderId="17" xfId="0" applyFont="1" applyFill="1" applyBorder="1" applyAlignment="1">
      <alignment horizontal="center"/>
    </xf>
    <xf numFmtId="0" fontId="0" fillId="4" borderId="18" xfId="0" applyFont="1" applyFill="1" applyBorder="1" applyAlignment="1">
      <alignment horizontal="center"/>
    </xf>
    <xf numFmtId="0" fontId="0" fillId="4" borderId="18" xfId="0" applyFill="1" applyBorder="1" applyAlignment="1">
      <alignment horizontal="center"/>
    </xf>
    <xf numFmtId="3" fontId="8" fillId="4" borderId="22"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8" fillId="4" borderId="18" xfId="0" applyFont="1" applyFill="1" applyBorder="1" applyAlignment="1">
      <alignment horizontal="center"/>
    </xf>
    <xf numFmtId="0" fontId="8" fillId="4" borderId="18"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19" xfId="0" applyFont="1" applyFill="1" applyBorder="1" applyAlignment="1">
      <alignment horizontal="center"/>
    </xf>
    <xf numFmtId="3" fontId="8" fillId="4" borderId="18" xfId="0" applyNumberFormat="1" applyFont="1" applyFill="1" applyBorder="1" applyAlignment="1">
      <alignment horizontal="center"/>
    </xf>
    <xf numFmtId="0" fontId="0" fillId="4" borderId="11" xfId="0" applyFont="1" applyFill="1" applyBorder="1" applyAlignment="1">
      <alignment horizontal="center"/>
    </xf>
    <xf numFmtId="0" fontId="0" fillId="4" borderId="12" xfId="0" applyFont="1" applyFill="1" applyBorder="1" applyAlignment="1">
      <alignment horizontal="center"/>
    </xf>
    <xf numFmtId="0" fontId="0" fillId="4" borderId="13" xfId="0" applyFont="1" applyFill="1" applyBorder="1" applyAlignment="1">
      <alignment horizontal="center"/>
    </xf>
    <xf numFmtId="3" fontId="0" fillId="4" borderId="11" xfId="0" applyNumberFormat="1" applyFill="1" applyBorder="1" applyAlignment="1">
      <alignment horizontal="center"/>
    </xf>
    <xf numFmtId="3" fontId="0" fillId="4" borderId="12" xfId="0" applyNumberFormat="1" applyFont="1" applyFill="1" applyBorder="1" applyAlignment="1">
      <alignment horizontal="center"/>
    </xf>
    <xf numFmtId="3" fontId="0" fillId="4" borderId="13" xfId="0" applyNumberFormat="1" applyFont="1" applyFill="1" applyBorder="1" applyAlignment="1">
      <alignment horizontal="center"/>
    </xf>
    <xf numFmtId="0" fontId="0" fillId="4" borderId="14" xfId="0" applyFont="1" applyFill="1" applyBorder="1" applyAlignment="1">
      <alignment horizontal="center"/>
    </xf>
    <xf numFmtId="0" fontId="0" fillId="4" borderId="15" xfId="0" applyFont="1" applyFill="1" applyBorder="1" applyAlignment="1">
      <alignment horizontal="center"/>
    </xf>
    <xf numFmtId="0" fontId="0" fillId="4" borderId="16" xfId="0" applyFont="1" applyFill="1" applyBorder="1" applyAlignment="1">
      <alignment horizontal="center"/>
    </xf>
    <xf numFmtId="3" fontId="0" fillId="4" borderId="14" xfId="0" applyNumberFormat="1" applyFont="1" applyFill="1" applyBorder="1" applyAlignment="1">
      <alignment horizontal="center"/>
    </xf>
    <xf numFmtId="3" fontId="0" fillId="4" borderId="15" xfId="0" applyNumberFormat="1" applyFont="1" applyFill="1" applyBorder="1" applyAlignment="1">
      <alignment horizontal="center"/>
    </xf>
    <xf numFmtId="3" fontId="0" fillId="4" borderId="16" xfId="0" applyNumberFormat="1" applyFont="1" applyFill="1" applyBorder="1" applyAlignment="1">
      <alignment horizontal="center"/>
    </xf>
    <xf numFmtId="0" fontId="0" fillId="4" borderId="17" xfId="0" applyFont="1" applyFill="1" applyBorder="1" applyAlignment="1">
      <alignment horizontal="center"/>
    </xf>
    <xf numFmtId="0" fontId="0" fillId="4" borderId="20" xfId="0" applyFont="1" applyFill="1" applyBorder="1" applyAlignment="1">
      <alignment horizontal="center"/>
    </xf>
    <xf numFmtId="0" fontId="0" fillId="4" borderId="21" xfId="0" applyFont="1" applyFill="1" applyBorder="1" applyAlignment="1">
      <alignment horizontal="center"/>
    </xf>
    <xf numFmtId="0" fontId="0" fillId="6" borderId="17" xfId="0" applyFont="1" applyFill="1" applyBorder="1" applyAlignment="1">
      <alignment horizontal="center"/>
    </xf>
    <xf numFmtId="0" fontId="0" fillId="6" borderId="20" xfId="0" applyFont="1" applyFill="1" applyBorder="1" applyAlignment="1">
      <alignment horizontal="center"/>
    </xf>
    <xf numFmtId="0" fontId="8" fillId="4" borderId="17" xfId="0" applyFont="1" applyFill="1" applyBorder="1" applyAlignment="1">
      <alignment horizontal="center"/>
    </xf>
    <xf numFmtId="0" fontId="8" fillId="4" borderId="20" xfId="0" applyFont="1" applyFill="1" applyBorder="1" applyAlignment="1">
      <alignment horizontal="center"/>
    </xf>
    <xf numFmtId="0" fontId="8" fillId="4" borderId="21" xfId="0" applyFont="1" applyFill="1" applyBorder="1" applyAlignment="1">
      <alignment horizontal="center"/>
    </xf>
    <xf numFmtId="3" fontId="9" fillId="5" borderId="18" xfId="0" applyNumberFormat="1" applyFont="1" applyFill="1" applyBorder="1" applyAlignment="1">
      <alignment horizontal="right"/>
    </xf>
    <xf numFmtId="0" fontId="8" fillId="6" borderId="17" xfId="0" applyFont="1" applyFill="1" applyBorder="1" applyAlignment="1">
      <alignment horizontal="center"/>
    </xf>
    <xf numFmtId="0" fontId="8" fillId="6" borderId="20" xfId="0" applyFont="1" applyFill="1" applyBorder="1" applyAlignment="1">
      <alignment horizontal="center"/>
    </xf>
    <xf numFmtId="0" fontId="8" fillId="6" borderId="21" xfId="0" applyFont="1" applyFill="1" applyBorder="1" applyAlignment="1">
      <alignment horizontal="center"/>
    </xf>
    <xf numFmtId="3" fontId="8" fillId="4" borderId="17" xfId="0" applyNumberFormat="1" applyFont="1" applyFill="1" applyBorder="1" applyAlignment="1">
      <alignment horizontal="center"/>
    </xf>
    <xf numFmtId="3" fontId="8" fillId="4" borderId="20" xfId="0" applyNumberFormat="1" applyFont="1" applyFill="1" applyBorder="1" applyAlignment="1">
      <alignment horizontal="center"/>
    </xf>
    <xf numFmtId="3" fontId="8" fillId="4" borderId="21" xfId="0" applyNumberFormat="1" applyFont="1" applyFill="1" applyBorder="1" applyAlignment="1">
      <alignment horizontal="center"/>
    </xf>
    <xf numFmtId="0" fontId="8" fillId="4" borderId="11" xfId="0" applyFont="1" applyFill="1" applyBorder="1" applyAlignment="1">
      <alignment horizontal="center"/>
    </xf>
    <xf numFmtId="0" fontId="8" fillId="4" borderId="13" xfId="0" applyFont="1" applyFill="1" applyBorder="1" applyAlignment="1">
      <alignment horizontal="center"/>
    </xf>
    <xf numFmtId="3" fontId="8" fillId="6" borderId="11" xfId="0" applyNumberFormat="1" applyFont="1" applyFill="1" applyBorder="1" applyAlignment="1">
      <alignment horizontal="center" vertical="center"/>
    </xf>
    <xf numFmtId="3" fontId="8" fillId="6" borderId="12" xfId="0" applyNumberFormat="1" applyFont="1" applyFill="1" applyBorder="1" applyAlignment="1">
      <alignment horizontal="center" vertical="center"/>
    </xf>
    <xf numFmtId="3" fontId="8" fillId="6" borderId="13" xfId="0" applyNumberFormat="1" applyFont="1" applyFill="1" applyBorder="1" applyAlignment="1">
      <alignment horizontal="center" vertical="center"/>
    </xf>
    <xf numFmtId="3" fontId="8" fillId="6" borderId="9" xfId="0" applyNumberFormat="1" applyFont="1" applyFill="1" applyBorder="1" applyAlignment="1">
      <alignment horizontal="center" vertical="center"/>
    </xf>
    <xf numFmtId="3" fontId="8" fillId="6" borderId="0" xfId="0" applyNumberFormat="1" applyFont="1" applyFill="1" applyBorder="1" applyAlignment="1">
      <alignment horizontal="center" vertical="center"/>
    </xf>
    <xf numFmtId="3" fontId="8" fillId="6" borderId="10" xfId="0"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5"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4" borderId="22" xfId="0" applyNumberFormat="1" applyFont="1" applyFill="1" applyBorder="1" applyAlignment="1">
      <alignment horizontal="center" wrapText="1"/>
    </xf>
    <xf numFmtId="3" fontId="8" fillId="4" borderId="19" xfId="0" applyNumberFormat="1" applyFont="1" applyFill="1" applyBorder="1" applyAlignment="1">
      <alignment horizontal="center" wrapText="1"/>
    </xf>
    <xf numFmtId="0" fontId="8" fillId="4" borderId="14" xfId="0" applyFont="1" applyFill="1" applyBorder="1" applyAlignment="1">
      <alignment horizontal="center"/>
    </xf>
    <xf numFmtId="0" fontId="8" fillId="4" borderId="16" xfId="0" applyFont="1" applyFill="1" applyBorder="1" applyAlignment="1">
      <alignment horizontal="center"/>
    </xf>
    <xf numFmtId="16" fontId="0" fillId="4" borderId="17" xfId="0" applyNumberFormat="1" applyFont="1" applyFill="1" applyBorder="1" applyAlignment="1">
      <alignment horizontal="center"/>
    </xf>
    <xf numFmtId="16" fontId="0" fillId="4" borderId="21" xfId="0" applyNumberFormat="1" applyFont="1" applyFill="1" applyBorder="1" applyAlignment="1">
      <alignment horizontal="center"/>
    </xf>
    <xf numFmtId="0" fontId="13" fillId="4" borderId="17" xfId="0" applyFont="1" applyFill="1" applyBorder="1" applyAlignment="1">
      <alignment horizontal="left"/>
    </xf>
    <xf numFmtId="0" fontId="13" fillId="4" borderId="20" xfId="0" applyFont="1" applyFill="1" applyBorder="1" applyAlignment="1">
      <alignment horizontal="left"/>
    </xf>
    <xf numFmtId="0" fontId="13" fillId="4" borderId="21" xfId="0" applyFont="1" applyFill="1" applyBorder="1" applyAlignment="1">
      <alignment horizontal="left"/>
    </xf>
    <xf numFmtId="0" fontId="8" fillId="4" borderId="11"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11" xfId="0" applyFont="1" applyFill="1" applyBorder="1" applyAlignment="1">
      <alignment horizontal="center" wrapText="1"/>
    </xf>
    <xf numFmtId="0" fontId="8" fillId="4" borderId="13" xfId="0" applyFont="1" applyFill="1" applyBorder="1" applyAlignment="1">
      <alignment horizontal="center" wrapText="1"/>
    </xf>
    <xf numFmtId="0" fontId="8" fillId="4" borderId="9" xfId="0" applyFont="1" applyFill="1" applyBorder="1" applyAlignment="1">
      <alignment horizontal="center" wrapText="1"/>
    </xf>
    <xf numFmtId="0" fontId="8" fillId="4" borderId="10" xfId="0" applyFont="1" applyFill="1" applyBorder="1" applyAlignment="1">
      <alignment horizontal="center" wrapText="1"/>
    </xf>
    <xf numFmtId="0" fontId="8" fillId="4" borderId="14" xfId="0" applyFont="1" applyFill="1" applyBorder="1" applyAlignment="1">
      <alignment horizontal="center" wrapText="1"/>
    </xf>
    <xf numFmtId="0" fontId="8" fillId="4" borderId="16" xfId="0" applyFont="1" applyFill="1" applyBorder="1" applyAlignment="1">
      <alignment horizontal="center" wrapText="1"/>
    </xf>
    <xf numFmtId="0" fontId="8" fillId="4" borderId="12" xfId="0" applyFont="1" applyFill="1" applyBorder="1" applyAlignment="1">
      <alignment horizontal="center" vertical="center"/>
    </xf>
    <xf numFmtId="0" fontId="8" fillId="4" borderId="0" xfId="0" applyFont="1" applyFill="1" applyBorder="1" applyAlignment="1">
      <alignment horizontal="center" vertical="center"/>
    </xf>
    <xf numFmtId="0" fontId="8" fillId="4" borderId="15" xfId="0" applyFont="1" applyFill="1" applyBorder="1" applyAlignment="1">
      <alignment horizontal="center" vertical="center"/>
    </xf>
    <xf numFmtId="3" fontId="8" fillId="4" borderId="22" xfId="0" applyNumberFormat="1" applyFont="1" applyFill="1" applyBorder="1" applyAlignment="1">
      <alignment horizontal="center" vertical="center"/>
    </xf>
    <xf numFmtId="3" fontId="8" fillId="4" borderId="23" xfId="0" applyNumberFormat="1" applyFont="1" applyFill="1" applyBorder="1" applyAlignment="1">
      <alignment horizontal="center" vertical="center"/>
    </xf>
    <xf numFmtId="3" fontId="8" fillId="4" borderId="19" xfId="0" applyNumberFormat="1" applyFont="1" applyFill="1" applyBorder="1" applyAlignment="1">
      <alignment horizontal="center" vertical="center"/>
    </xf>
    <xf numFmtId="0" fontId="0" fillId="4" borderId="17" xfId="0" applyFill="1" applyBorder="1" applyAlignment="1">
      <alignment horizontal="center"/>
    </xf>
    <xf numFmtId="0" fontId="0" fillId="4" borderId="21" xfId="0" applyFill="1" applyBorder="1" applyAlignment="1">
      <alignment horizontal="center"/>
    </xf>
    <xf numFmtId="0" fontId="0" fillId="0" borderId="14" xfId="0" applyBorder="1" applyAlignment="1">
      <alignment horizontal="left"/>
    </xf>
    <xf numFmtId="0" fontId="0" fillId="0" borderId="16" xfId="0" applyBorder="1" applyAlignment="1">
      <alignment horizontal="left"/>
    </xf>
    <xf numFmtId="49" fontId="0" fillId="4" borderId="17" xfId="0" applyNumberFormat="1" applyFont="1" applyFill="1" applyBorder="1" applyAlignment="1">
      <alignment horizontal="center"/>
    </xf>
    <xf numFmtId="49" fontId="0" fillId="4" borderId="21" xfId="0" applyNumberFormat="1" applyFont="1" applyFill="1" applyBorder="1" applyAlignment="1">
      <alignment horizontal="center"/>
    </xf>
    <xf numFmtId="0" fontId="0" fillId="0" borderId="17" xfId="0" applyBorder="1" applyAlignment="1">
      <alignment horizontal="left"/>
    </xf>
    <xf numFmtId="0" fontId="0" fillId="0" borderId="21" xfId="0" applyBorder="1" applyAlignment="1">
      <alignment horizontal="left"/>
    </xf>
    <xf numFmtId="0" fontId="0" fillId="0" borderId="18" xfId="0" applyBorder="1" applyAlignment="1">
      <alignment horizontal="left"/>
    </xf>
    <xf numFmtId="0" fontId="0" fillId="4" borderId="18" xfId="0" applyFont="1" applyFill="1" applyBorder="1" applyAlignment="1">
      <alignment horizontal="center"/>
    </xf>
    <xf numFmtId="0" fontId="0" fillId="4" borderId="18" xfId="0" applyFill="1" applyBorder="1" applyAlignment="1">
      <alignment horizontal="center"/>
    </xf>
    <xf numFmtId="49" fontId="0" fillId="4" borderId="18" xfId="0" applyNumberFormat="1" applyFont="1" applyFill="1" applyBorder="1" applyAlignment="1">
      <alignment horizontal="center"/>
    </xf>
    <xf numFmtId="49" fontId="0" fillId="4" borderId="18" xfId="0" applyNumberFormat="1" applyFill="1" applyBorder="1" applyAlignment="1">
      <alignment horizontal="center"/>
    </xf>
    <xf numFmtId="0" fontId="0" fillId="4" borderId="18" xfId="0" applyFill="1" applyBorder="1" applyAlignment="1">
      <alignment horizontal="left"/>
    </xf>
    <xf numFmtId="0" fontId="0" fillId="4" borderId="18" xfId="0" applyFont="1" applyFill="1" applyBorder="1" applyAlignment="1">
      <alignment horizontal="left"/>
    </xf>
    <xf numFmtId="16" fontId="0" fillId="4" borderId="17" xfId="0" applyNumberFormat="1" applyFill="1" applyBorder="1" applyAlignment="1">
      <alignment horizontal="center"/>
    </xf>
    <xf numFmtId="16" fontId="0" fillId="4" borderId="21" xfId="0" applyNumberFormat="1" applyFill="1" applyBorder="1" applyAlignment="1">
      <alignment horizontal="center"/>
    </xf>
    <xf numFmtId="0" fontId="0" fillId="4" borderId="17" xfId="0" applyFill="1" applyBorder="1" applyAlignment="1">
      <alignment horizontal="left"/>
    </xf>
    <xf numFmtId="0" fontId="0" fillId="4" borderId="21" xfId="0" applyFill="1" applyBorder="1" applyAlignment="1">
      <alignment horizontal="left"/>
    </xf>
    <xf numFmtId="0" fontId="8" fillId="4" borderId="11"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22" xfId="0" applyFont="1" applyFill="1" applyBorder="1" applyAlignment="1">
      <alignment horizontal="center" vertical="center"/>
    </xf>
    <xf numFmtId="0" fontId="8" fillId="4" borderId="19" xfId="0" applyFont="1" applyFill="1" applyBorder="1" applyAlignment="1">
      <alignment horizontal="center" vertical="center"/>
    </xf>
    <xf numFmtId="0" fontId="7" fillId="3" borderId="9" xfId="0" applyFont="1" applyFill="1" applyBorder="1" applyAlignment="1">
      <alignment horizontal="center"/>
    </xf>
    <xf numFmtId="0" fontId="7" fillId="3" borderId="0" xfId="0" applyFont="1" applyFill="1" applyBorder="1" applyAlignment="1">
      <alignment horizontal="center"/>
    </xf>
    <xf numFmtId="0" fontId="7" fillId="3" borderId="10" xfId="0" applyFont="1" applyFill="1" applyBorder="1" applyAlignment="1">
      <alignment horizontal="center"/>
    </xf>
    <xf numFmtId="0" fontId="8" fillId="4" borderId="12" xfId="0" applyFont="1" applyFill="1" applyBorder="1" applyAlignment="1">
      <alignment horizontal="center"/>
    </xf>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16" fillId="4" borderId="17" xfId="0" applyFont="1" applyFill="1" applyBorder="1" applyAlignment="1">
      <alignment horizontal="left"/>
    </xf>
    <xf numFmtId="0" fontId="16" fillId="4" borderId="20" xfId="0" applyFont="1" applyFill="1" applyBorder="1" applyAlignment="1">
      <alignment horizontal="left"/>
    </xf>
    <xf numFmtId="0" fontId="16" fillId="4" borderId="21" xfId="0" applyFont="1" applyFill="1" applyBorder="1" applyAlignment="1">
      <alignment horizontal="left"/>
    </xf>
    <xf numFmtId="49" fontId="0" fillId="4" borderId="17" xfId="0" applyNumberFormat="1" applyFill="1" applyBorder="1" applyAlignment="1">
      <alignment horizontal="center"/>
    </xf>
    <xf numFmtId="49" fontId="0" fillId="4" borderId="21" xfId="0" applyNumberFormat="1" applyFill="1" applyBorder="1" applyAlignment="1">
      <alignment horizontal="center"/>
    </xf>
    <xf numFmtId="0" fontId="0" fillId="0" borderId="17" xfId="0" applyFill="1" applyBorder="1" applyAlignment="1">
      <alignment horizontal="left"/>
    </xf>
    <xf numFmtId="0" fontId="0" fillId="0" borderId="21" xfId="0" applyFill="1" applyBorder="1" applyAlignment="1">
      <alignment horizontal="left"/>
    </xf>
    <xf numFmtId="0" fontId="5" fillId="2" borderId="0" xfId="0" applyFont="1" applyFill="1" applyAlignment="1" applyProtection="1">
      <alignment horizontal="center"/>
      <protection hidden="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9" workbookViewId="0">
      <selection activeCell="H17" sqref="H17"/>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39" t="s">
        <v>27</v>
      </c>
      <c r="B6" s="40" t="s">
        <v>28</v>
      </c>
      <c r="C6" s="40" t="s">
        <v>29</v>
      </c>
      <c r="D6" s="30"/>
      <c r="E6" s="30"/>
      <c r="F6" s="30"/>
      <c r="G6" s="30"/>
      <c r="H6" s="31"/>
      <c r="I6" s="31"/>
      <c r="J6" s="31"/>
      <c r="K6" s="31"/>
      <c r="L6" s="32"/>
    </row>
    <row r="7" spans="1:12" x14ac:dyDescent="0.25">
      <c r="A7" s="41" t="s">
        <v>67</v>
      </c>
      <c r="B7" s="42" t="s">
        <v>30</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52" t="s">
        <v>40</v>
      </c>
      <c r="K13" s="52" t="s">
        <v>40</v>
      </c>
      <c r="L13" s="52" t="s">
        <v>41</v>
      </c>
    </row>
    <row r="14" spans="1:12" x14ac:dyDescent="0.25">
      <c r="A14" s="396"/>
      <c r="B14" s="397"/>
      <c r="C14" s="396"/>
      <c r="D14" s="397"/>
      <c r="E14" s="361"/>
      <c r="F14" s="362"/>
      <c r="G14" s="399"/>
      <c r="H14" s="399"/>
      <c r="I14" s="399"/>
      <c r="J14" s="53" t="s">
        <v>42</v>
      </c>
      <c r="K14" s="53" t="s">
        <v>43</v>
      </c>
      <c r="L14" s="53" t="s">
        <v>44</v>
      </c>
    </row>
    <row r="15" spans="1:12" x14ac:dyDescent="0.25">
      <c r="A15" s="387">
        <v>1</v>
      </c>
      <c r="B15" s="386"/>
      <c r="C15" s="384">
        <v>1</v>
      </c>
      <c r="D15" s="384"/>
      <c r="E15" s="388" t="s">
        <v>71</v>
      </c>
      <c r="F15" s="389"/>
      <c r="G15" s="54" t="s">
        <v>26</v>
      </c>
      <c r="H15" s="55">
        <v>323400</v>
      </c>
      <c r="I15" s="56"/>
      <c r="J15" s="57"/>
      <c r="K15" s="57"/>
      <c r="L15" s="58">
        <f t="shared" ref="L15:L30" si="0">H15</f>
        <v>323400</v>
      </c>
    </row>
    <row r="16" spans="1:12" x14ac:dyDescent="0.25">
      <c r="A16" s="387">
        <v>1</v>
      </c>
      <c r="B16" s="386"/>
      <c r="C16" s="384">
        <v>1</v>
      </c>
      <c r="D16" s="384"/>
      <c r="E16" s="388" t="s">
        <v>73</v>
      </c>
      <c r="F16" s="389"/>
      <c r="G16" s="80" t="s">
        <v>26</v>
      </c>
      <c r="H16" s="55">
        <v>679600</v>
      </c>
      <c r="I16" s="56"/>
      <c r="J16" s="57"/>
      <c r="K16" s="57"/>
      <c r="L16" s="58">
        <f t="shared" si="0"/>
        <v>679600</v>
      </c>
    </row>
    <row r="17" spans="1:12" x14ac:dyDescent="0.25">
      <c r="A17" s="387">
        <v>1</v>
      </c>
      <c r="B17" s="386"/>
      <c r="C17" s="384">
        <v>2</v>
      </c>
      <c r="D17" s="384"/>
      <c r="E17" s="388" t="s">
        <v>73</v>
      </c>
      <c r="F17" s="389"/>
      <c r="G17" s="80" t="s">
        <v>26</v>
      </c>
      <c r="H17" s="60">
        <v>644766</v>
      </c>
      <c r="I17" s="56"/>
      <c r="J17" s="57"/>
      <c r="K17" s="57"/>
      <c r="L17" s="58">
        <f t="shared" si="0"/>
        <v>644766</v>
      </c>
    </row>
    <row r="18" spans="1:12" x14ac:dyDescent="0.25">
      <c r="A18" s="387" t="s">
        <v>74</v>
      </c>
      <c r="B18" s="386"/>
      <c r="C18" s="384" t="s">
        <v>75</v>
      </c>
      <c r="D18" s="384"/>
      <c r="E18" s="388" t="s">
        <v>76</v>
      </c>
      <c r="F18" s="389"/>
      <c r="G18" s="80" t="s">
        <v>26</v>
      </c>
      <c r="H18" s="55">
        <v>5472500</v>
      </c>
      <c r="I18" s="56"/>
      <c r="J18" s="57"/>
      <c r="K18" s="57"/>
      <c r="L18" s="58">
        <f t="shared" si="0"/>
        <v>5472500</v>
      </c>
    </row>
    <row r="19" spans="1:12" x14ac:dyDescent="0.25">
      <c r="A19" s="387">
        <v>1</v>
      </c>
      <c r="B19" s="386"/>
      <c r="C19" s="384">
        <v>1</v>
      </c>
      <c r="D19" s="384"/>
      <c r="E19" s="388" t="s">
        <v>72</v>
      </c>
      <c r="F19" s="389"/>
      <c r="G19" s="80" t="s">
        <v>26</v>
      </c>
      <c r="H19" s="55">
        <v>672300</v>
      </c>
      <c r="I19" s="56"/>
      <c r="J19" s="57"/>
      <c r="K19" s="57"/>
      <c r="L19" s="58">
        <f t="shared" si="0"/>
        <v>672300</v>
      </c>
    </row>
    <row r="20" spans="1:12" x14ac:dyDescent="0.25">
      <c r="A20" s="390">
        <v>45723</v>
      </c>
      <c r="B20" s="391"/>
      <c r="C20" s="322">
        <v>1</v>
      </c>
      <c r="D20" s="324"/>
      <c r="E20" s="392" t="s">
        <v>64</v>
      </c>
      <c r="F20" s="393"/>
      <c r="G20" s="80" t="s">
        <v>26</v>
      </c>
      <c r="H20" s="55">
        <v>7961434</v>
      </c>
      <c r="I20" s="56"/>
      <c r="J20" s="57"/>
      <c r="K20" s="57"/>
      <c r="L20" s="58">
        <f t="shared" si="0"/>
        <v>7961434</v>
      </c>
    </row>
    <row r="21" spans="1:12" x14ac:dyDescent="0.25">
      <c r="A21" s="385"/>
      <c r="B21" s="384"/>
      <c r="C21" s="386"/>
      <c r="D21" s="386"/>
      <c r="E21" s="383"/>
      <c r="F21" s="383"/>
      <c r="G21" s="59"/>
      <c r="H21" s="55"/>
      <c r="I21" s="56"/>
      <c r="J21" s="57"/>
      <c r="K21" s="57"/>
      <c r="L21" s="58">
        <f t="shared" si="0"/>
        <v>0</v>
      </c>
    </row>
    <row r="22" spans="1:12" x14ac:dyDescent="0.25">
      <c r="A22" s="375"/>
      <c r="B22" s="376"/>
      <c r="C22" s="322"/>
      <c r="D22" s="324"/>
      <c r="E22" s="383"/>
      <c r="F22" s="383"/>
      <c r="G22" s="59"/>
      <c r="H22" s="55"/>
      <c r="I22" s="56"/>
      <c r="J22" s="57"/>
      <c r="K22" s="57"/>
      <c r="L22" s="58">
        <f t="shared" si="0"/>
        <v>0</v>
      </c>
    </row>
    <row r="23" spans="1:12" x14ac:dyDescent="0.25">
      <c r="A23" s="375"/>
      <c r="B23" s="376"/>
      <c r="C23" s="384"/>
      <c r="D23" s="384"/>
      <c r="E23" s="383"/>
      <c r="F23" s="383"/>
      <c r="G23" s="59"/>
      <c r="H23" s="55"/>
      <c r="I23" s="56"/>
      <c r="J23" s="57"/>
      <c r="K23" s="57"/>
      <c r="L23" s="58">
        <f t="shared" si="0"/>
        <v>0</v>
      </c>
    </row>
    <row r="24" spans="1:12" x14ac:dyDescent="0.25">
      <c r="A24" s="375"/>
      <c r="B24" s="376"/>
      <c r="C24" s="379"/>
      <c r="D24" s="380"/>
      <c r="E24" s="383"/>
      <c r="F24" s="383"/>
      <c r="G24" s="59"/>
      <c r="H24" s="55"/>
      <c r="I24" s="56"/>
      <c r="J24" s="57"/>
      <c r="K24" s="57"/>
      <c r="L24" s="58">
        <f t="shared" si="0"/>
        <v>0</v>
      </c>
    </row>
    <row r="25" spans="1:12" x14ac:dyDescent="0.25">
      <c r="A25" s="375"/>
      <c r="B25" s="376"/>
      <c r="C25" s="379"/>
      <c r="D25" s="380"/>
      <c r="E25" s="381"/>
      <c r="F25" s="382"/>
      <c r="G25" s="59"/>
      <c r="H25" s="55"/>
      <c r="I25" s="56"/>
      <c r="J25" s="57"/>
      <c r="K25" s="57"/>
      <c r="L25" s="58">
        <f t="shared" si="0"/>
        <v>0</v>
      </c>
    </row>
    <row r="26" spans="1:12" x14ac:dyDescent="0.25">
      <c r="A26" s="375"/>
      <c r="B26" s="376"/>
      <c r="C26" s="379"/>
      <c r="D26" s="380"/>
      <c r="E26" s="381"/>
      <c r="F26" s="382"/>
      <c r="G26" s="59"/>
      <c r="H26" s="55"/>
      <c r="I26" s="56"/>
      <c r="J26" s="57"/>
      <c r="K26" s="57"/>
      <c r="L26" s="58">
        <f t="shared" si="0"/>
        <v>0</v>
      </c>
    </row>
    <row r="27" spans="1:12" x14ac:dyDescent="0.25">
      <c r="A27" s="375"/>
      <c r="B27" s="376"/>
      <c r="C27" s="322"/>
      <c r="D27" s="324"/>
      <c r="E27" s="381"/>
      <c r="F27" s="382"/>
      <c r="G27" s="54"/>
      <c r="H27" s="60"/>
      <c r="I27" s="56"/>
      <c r="J27" s="57"/>
      <c r="K27" s="57"/>
      <c r="L27" s="58">
        <f t="shared" si="0"/>
        <v>0</v>
      </c>
    </row>
    <row r="28" spans="1:12" x14ac:dyDescent="0.25">
      <c r="A28" s="375"/>
      <c r="B28" s="376"/>
      <c r="C28" s="322"/>
      <c r="D28" s="324"/>
      <c r="E28" s="383"/>
      <c r="F28" s="383"/>
      <c r="G28" s="54"/>
      <c r="H28" s="60"/>
      <c r="I28" s="56"/>
      <c r="J28" s="57"/>
      <c r="K28" s="57"/>
      <c r="L28" s="58">
        <f t="shared" si="0"/>
        <v>0</v>
      </c>
    </row>
    <row r="29" spans="1:12" x14ac:dyDescent="0.25">
      <c r="A29" s="375"/>
      <c r="B29" s="376"/>
      <c r="C29" s="322"/>
      <c r="D29" s="324"/>
      <c r="E29" s="377"/>
      <c r="F29" s="378"/>
      <c r="G29" s="54"/>
      <c r="H29" s="60"/>
      <c r="I29" s="56"/>
      <c r="J29" s="57"/>
      <c r="K29" s="57"/>
      <c r="L29" s="58">
        <f t="shared" si="0"/>
        <v>0</v>
      </c>
    </row>
    <row r="30" spans="1:12" x14ac:dyDescent="0.25">
      <c r="A30" s="375"/>
      <c r="B30" s="376"/>
      <c r="C30" s="379"/>
      <c r="D30" s="380"/>
      <c r="E30" s="381"/>
      <c r="F30" s="382"/>
      <c r="G30" s="54"/>
      <c r="H30" s="60"/>
      <c r="I30" s="56"/>
      <c r="J30" s="57"/>
      <c r="K30" s="57"/>
      <c r="L30" s="58">
        <f t="shared" si="0"/>
        <v>0</v>
      </c>
    </row>
    <row r="31" spans="1:12" x14ac:dyDescent="0.25">
      <c r="A31" s="322"/>
      <c r="B31" s="324"/>
      <c r="C31" s="61" t="s">
        <v>45</v>
      </c>
      <c r="D31" s="62"/>
      <c r="E31" s="62"/>
      <c r="F31" s="62"/>
      <c r="G31" s="62"/>
      <c r="H31" s="63">
        <f>SUM(H15:H30)</f>
        <v>15754000</v>
      </c>
      <c r="I31" s="334"/>
      <c r="J31" s="335"/>
      <c r="K31" s="336"/>
      <c r="L31" s="63">
        <f>SUM(L15:L30)</f>
        <v>15754000</v>
      </c>
    </row>
    <row r="32" spans="1:12" x14ac:dyDescent="0.25">
      <c r="A32" s="64"/>
      <c r="B32" s="38"/>
      <c r="C32" s="29"/>
      <c r="D32" s="30"/>
      <c r="E32" s="30"/>
      <c r="F32" s="30"/>
      <c r="G32" s="30"/>
      <c r="H32" s="31"/>
      <c r="I32" s="31"/>
      <c r="J32" s="31"/>
      <c r="K32" s="31"/>
      <c r="L32" s="32"/>
    </row>
    <row r="33" spans="1:12" x14ac:dyDescent="0.25">
      <c r="A33" s="48" t="s">
        <v>46</v>
      </c>
      <c r="B33" s="38"/>
      <c r="C33" s="29"/>
      <c r="D33" s="30"/>
      <c r="E33" s="30"/>
      <c r="F33" s="30"/>
      <c r="G33" s="30"/>
      <c r="H33" s="31"/>
      <c r="I33" s="31"/>
      <c r="J33" s="31"/>
      <c r="K33" s="31"/>
      <c r="L33" s="32"/>
    </row>
    <row r="34" spans="1:12" x14ac:dyDescent="0.25">
      <c r="A34" s="48"/>
      <c r="B34" s="30"/>
      <c r="C34" s="30"/>
      <c r="D34" s="30"/>
      <c r="E34" s="30"/>
      <c r="F34" s="30"/>
      <c r="G34" s="30"/>
      <c r="H34" s="31"/>
      <c r="I34" s="31"/>
      <c r="J34" s="31"/>
      <c r="K34" s="31"/>
      <c r="L34" s="32"/>
    </row>
    <row r="35" spans="1:12" x14ac:dyDescent="0.25">
      <c r="A35" s="357" t="s">
        <v>47</v>
      </c>
      <c r="B35" s="358"/>
      <c r="C35" s="363" t="s">
        <v>48</v>
      </c>
      <c r="D35" s="364"/>
      <c r="E35" s="357" t="s">
        <v>49</v>
      </c>
      <c r="F35" s="369"/>
      <c r="G35" s="369"/>
      <c r="H35" s="369"/>
      <c r="I35" s="369"/>
      <c r="J35" s="369"/>
      <c r="K35" s="358"/>
      <c r="L35" s="372" t="s">
        <v>50</v>
      </c>
    </row>
    <row r="36" spans="1:12" x14ac:dyDescent="0.25">
      <c r="A36" s="359"/>
      <c r="B36" s="360"/>
      <c r="C36" s="365"/>
      <c r="D36" s="366"/>
      <c r="E36" s="359"/>
      <c r="F36" s="370"/>
      <c r="G36" s="370"/>
      <c r="H36" s="370"/>
      <c r="I36" s="370"/>
      <c r="J36" s="370"/>
      <c r="K36" s="360"/>
      <c r="L36" s="373"/>
    </row>
    <row r="37" spans="1:12" x14ac:dyDescent="0.25">
      <c r="A37" s="361"/>
      <c r="B37" s="362"/>
      <c r="C37" s="367"/>
      <c r="D37" s="368"/>
      <c r="E37" s="361"/>
      <c r="F37" s="371"/>
      <c r="G37" s="371"/>
      <c r="H37" s="371"/>
      <c r="I37" s="371"/>
      <c r="J37" s="371"/>
      <c r="K37" s="362"/>
      <c r="L37" s="374"/>
    </row>
    <row r="38" spans="1:12" x14ac:dyDescent="0.25">
      <c r="A38" s="352">
        <v>45695</v>
      </c>
      <c r="B38" s="353"/>
      <c r="C38" s="322">
        <v>2154</v>
      </c>
      <c r="D38" s="324"/>
      <c r="E38" s="354" t="s">
        <v>62</v>
      </c>
      <c r="F38" s="355"/>
      <c r="G38" s="355"/>
      <c r="H38" s="355"/>
      <c r="I38" s="355"/>
      <c r="J38" s="355"/>
      <c r="K38" s="356"/>
      <c r="L38" s="55">
        <v>6497000</v>
      </c>
    </row>
    <row r="39" spans="1:12" x14ac:dyDescent="0.25">
      <c r="A39" s="352">
        <v>45712</v>
      </c>
      <c r="B39" s="353"/>
      <c r="C39" s="322">
        <v>2205</v>
      </c>
      <c r="D39" s="324"/>
      <c r="E39" s="354" t="s">
        <v>65</v>
      </c>
      <c r="F39" s="355"/>
      <c r="G39" s="355"/>
      <c r="H39" s="355"/>
      <c r="I39" s="355"/>
      <c r="J39" s="355"/>
      <c r="K39" s="356"/>
      <c r="L39" s="55">
        <v>6567000</v>
      </c>
    </row>
    <row r="40" spans="1:12" x14ac:dyDescent="0.25">
      <c r="A40" s="352">
        <v>45719</v>
      </c>
      <c r="B40" s="353"/>
      <c r="C40" s="322">
        <v>2234</v>
      </c>
      <c r="D40" s="324"/>
      <c r="E40" s="354" t="s">
        <v>69</v>
      </c>
      <c r="F40" s="355"/>
      <c r="G40" s="355"/>
      <c r="H40" s="355"/>
      <c r="I40" s="355"/>
      <c r="J40" s="355"/>
      <c r="K40" s="356"/>
      <c r="L40" s="55">
        <v>2690000</v>
      </c>
    </row>
    <row r="41" spans="1:12" x14ac:dyDescent="0.25">
      <c r="A41" s="352"/>
      <c r="B41" s="353"/>
      <c r="C41" s="322"/>
      <c r="D41" s="324"/>
      <c r="E41" s="354"/>
      <c r="F41" s="355"/>
      <c r="G41" s="355"/>
      <c r="H41" s="355"/>
      <c r="I41" s="355"/>
      <c r="J41" s="355"/>
      <c r="K41" s="356"/>
      <c r="L41" s="55"/>
    </row>
    <row r="42" spans="1:12" x14ac:dyDescent="0.25">
      <c r="A42" s="352"/>
      <c r="B42" s="353"/>
      <c r="C42" s="322"/>
      <c r="D42" s="324"/>
      <c r="E42" s="354"/>
      <c r="F42" s="355"/>
      <c r="G42" s="355"/>
      <c r="H42" s="355"/>
      <c r="I42" s="355"/>
      <c r="J42" s="355"/>
      <c r="K42" s="356"/>
      <c r="L42" s="55"/>
    </row>
    <row r="43" spans="1:12" x14ac:dyDescent="0.25">
      <c r="A43" s="352"/>
      <c r="B43" s="353"/>
      <c r="C43" s="322"/>
      <c r="D43" s="324"/>
      <c r="E43" s="354"/>
      <c r="F43" s="355"/>
      <c r="G43" s="355"/>
      <c r="H43" s="355"/>
      <c r="I43" s="355"/>
      <c r="J43" s="355"/>
      <c r="K43" s="356"/>
      <c r="L43" s="55"/>
    </row>
    <row r="44" spans="1:12" x14ac:dyDescent="0.25">
      <c r="A44" s="352"/>
      <c r="B44" s="353"/>
      <c r="C44" s="322"/>
      <c r="D44" s="324"/>
      <c r="E44" s="354"/>
      <c r="F44" s="355"/>
      <c r="G44" s="355"/>
      <c r="H44" s="355"/>
      <c r="I44" s="355"/>
      <c r="J44" s="355"/>
      <c r="K44" s="356"/>
      <c r="L44" s="55"/>
    </row>
    <row r="45" spans="1:12" x14ac:dyDescent="0.25">
      <c r="A45" s="352"/>
      <c r="B45" s="324"/>
      <c r="C45" s="322"/>
      <c r="D45" s="324"/>
      <c r="E45" s="354"/>
      <c r="F45" s="355"/>
      <c r="G45" s="355"/>
      <c r="H45" s="355"/>
      <c r="I45" s="355"/>
      <c r="J45" s="355"/>
      <c r="K45" s="356"/>
      <c r="L45" s="55"/>
    </row>
    <row r="46" spans="1:12" x14ac:dyDescent="0.25">
      <c r="A46" s="334" t="s">
        <v>51</v>
      </c>
      <c r="B46" s="335"/>
      <c r="C46" s="335"/>
      <c r="D46" s="335"/>
      <c r="E46" s="335"/>
      <c r="F46" s="335"/>
      <c r="G46" s="335"/>
      <c r="H46" s="335"/>
      <c r="I46" s="335"/>
      <c r="J46" s="335"/>
      <c r="K46" s="336"/>
      <c r="L46" s="63">
        <f>SUM(L38:L45)</f>
        <v>15754000</v>
      </c>
    </row>
    <row r="47" spans="1:12" x14ac:dyDescent="0.25">
      <c r="A47" s="65"/>
      <c r="B47" s="66"/>
      <c r="C47" s="66"/>
      <c r="D47" s="66"/>
      <c r="E47" s="66"/>
      <c r="F47" s="66"/>
      <c r="G47" s="66"/>
      <c r="H47" s="31"/>
      <c r="I47" s="31"/>
      <c r="J47" s="31"/>
      <c r="K47" s="31"/>
      <c r="L47" s="31"/>
    </row>
    <row r="48" spans="1:12" x14ac:dyDescent="0.25">
      <c r="A48" s="48" t="s">
        <v>52</v>
      </c>
      <c r="B48" s="30"/>
      <c r="C48" s="30"/>
      <c r="D48" s="30"/>
      <c r="E48" s="30"/>
      <c r="F48" s="30"/>
      <c r="G48" s="30"/>
      <c r="H48" s="31"/>
      <c r="I48" s="31"/>
      <c r="J48" s="31"/>
      <c r="K48" s="31"/>
      <c r="L48" s="31"/>
    </row>
    <row r="49" spans="1:13" x14ac:dyDescent="0.25">
      <c r="A49" s="44"/>
      <c r="B49" s="45"/>
      <c r="C49" s="45"/>
      <c r="D49" s="45"/>
      <c r="E49" s="45"/>
      <c r="F49" s="45"/>
      <c r="G49" s="45"/>
      <c r="H49" s="31"/>
      <c r="I49" s="31"/>
      <c r="J49" s="46"/>
      <c r="K49" s="46"/>
      <c r="L49" s="31"/>
    </row>
    <row r="50" spans="1:13" x14ac:dyDescent="0.25">
      <c r="A50" s="337" t="s">
        <v>53</v>
      </c>
      <c r="B50" s="338"/>
      <c r="C50" s="337" t="s">
        <v>54</v>
      </c>
      <c r="D50" s="338"/>
      <c r="E50" s="67" t="s">
        <v>55</v>
      </c>
      <c r="F50" s="68" t="s">
        <v>37</v>
      </c>
      <c r="G50" s="339"/>
      <c r="H50" s="340"/>
      <c r="I50" s="340"/>
      <c r="J50" s="340"/>
      <c r="K50" s="341"/>
      <c r="L50" s="348" t="s">
        <v>56</v>
      </c>
    </row>
    <row r="51" spans="1:13" x14ac:dyDescent="0.25">
      <c r="A51" s="316"/>
      <c r="B51" s="317"/>
      <c r="C51" s="350" t="s">
        <v>57</v>
      </c>
      <c r="D51" s="351"/>
      <c r="E51" s="69"/>
      <c r="F51" s="44"/>
      <c r="G51" s="342"/>
      <c r="H51" s="343"/>
      <c r="I51" s="343"/>
      <c r="J51" s="343"/>
      <c r="K51" s="344"/>
      <c r="L51" s="349"/>
    </row>
    <row r="52" spans="1:13" x14ac:dyDescent="0.25">
      <c r="A52" s="310"/>
      <c r="B52" s="312"/>
      <c r="C52" s="310"/>
      <c r="D52" s="312"/>
      <c r="E52" s="70"/>
      <c r="F52" s="71"/>
      <c r="G52" s="342"/>
      <c r="H52" s="343"/>
      <c r="I52" s="343"/>
      <c r="J52" s="343"/>
      <c r="K52" s="344"/>
      <c r="L52" s="55"/>
    </row>
    <row r="53" spans="1:13" x14ac:dyDescent="0.25">
      <c r="A53" s="310"/>
      <c r="B53" s="312"/>
      <c r="C53" s="310"/>
      <c r="D53" s="312"/>
      <c r="E53" s="70"/>
      <c r="F53" s="64"/>
      <c r="G53" s="345"/>
      <c r="H53" s="346"/>
      <c r="I53" s="346"/>
      <c r="J53" s="346"/>
      <c r="K53" s="347"/>
      <c r="L53" s="72"/>
    </row>
    <row r="54" spans="1:13" x14ac:dyDescent="0.25">
      <c r="A54" s="322" t="s">
        <v>41</v>
      </c>
      <c r="B54" s="323"/>
      <c r="C54" s="323"/>
      <c r="D54" s="323"/>
      <c r="E54" s="323"/>
      <c r="F54" s="323"/>
      <c r="G54" s="323"/>
      <c r="H54" s="323"/>
      <c r="I54" s="323"/>
      <c r="J54" s="323"/>
      <c r="K54" s="324"/>
      <c r="L54" s="73">
        <f>SUM(L52:L53)</f>
        <v>0</v>
      </c>
    </row>
    <row r="55" spans="1:13" x14ac:dyDescent="0.25">
      <c r="A55" s="325"/>
      <c r="B55" s="326"/>
      <c r="C55" s="326"/>
      <c r="D55" s="326"/>
      <c r="E55" s="326"/>
      <c r="F55" s="326"/>
      <c r="G55" s="326"/>
      <c r="H55" s="326"/>
      <c r="I55" s="326"/>
      <c r="J55" s="326"/>
      <c r="K55" s="326"/>
      <c r="L55" s="326"/>
    </row>
    <row r="56" spans="1:13" x14ac:dyDescent="0.25">
      <c r="A56" s="327" t="s">
        <v>58</v>
      </c>
      <c r="B56" s="328"/>
      <c r="C56" s="328"/>
      <c r="D56" s="328"/>
      <c r="E56" s="328"/>
      <c r="F56" s="328"/>
      <c r="G56" s="328"/>
      <c r="H56" s="328"/>
      <c r="I56" s="328"/>
      <c r="J56" s="329"/>
      <c r="K56" s="330">
        <f>K9+L31-L46-L54</f>
        <v>0</v>
      </c>
      <c r="L56" s="330"/>
    </row>
    <row r="57" spans="1:13" x14ac:dyDescent="0.25">
      <c r="A57" s="331"/>
      <c r="B57" s="332"/>
      <c r="C57" s="332"/>
      <c r="D57" s="332"/>
      <c r="E57" s="332"/>
      <c r="F57" s="332"/>
      <c r="G57" s="332"/>
      <c r="H57" s="332"/>
      <c r="I57" s="332"/>
      <c r="J57" s="332"/>
      <c r="K57" s="332"/>
      <c r="L57" s="333"/>
    </row>
    <row r="58" spans="1:13" x14ac:dyDescent="0.25">
      <c r="A58" s="305" t="s">
        <v>59</v>
      </c>
      <c r="B58" s="305"/>
      <c r="C58" s="305"/>
      <c r="D58" s="305"/>
      <c r="E58" s="305"/>
      <c r="F58" s="305" t="s">
        <v>60</v>
      </c>
      <c r="G58" s="305"/>
      <c r="H58" s="305"/>
      <c r="I58" s="306"/>
      <c r="J58" s="309" t="s">
        <v>61</v>
      </c>
      <c r="K58" s="309"/>
      <c r="L58" s="309"/>
    </row>
    <row r="59" spans="1:13" x14ac:dyDescent="0.25">
      <c r="A59" s="310"/>
      <c r="B59" s="311"/>
      <c r="C59" s="311"/>
      <c r="D59" s="311"/>
      <c r="E59" s="312"/>
      <c r="F59" s="310"/>
      <c r="G59" s="311"/>
      <c r="H59" s="312"/>
      <c r="I59" s="307"/>
      <c r="J59" s="313"/>
      <c r="K59" s="314"/>
      <c r="L59" s="315"/>
      <c r="M59" s="74"/>
    </row>
    <row r="60" spans="1:13" x14ac:dyDescent="0.25">
      <c r="A60" s="316"/>
      <c r="B60" s="317"/>
      <c r="C60" s="317"/>
      <c r="D60" s="317"/>
      <c r="E60" s="318"/>
      <c r="F60" s="316"/>
      <c r="G60" s="317"/>
      <c r="H60" s="318"/>
      <c r="I60" s="308"/>
      <c r="J60" s="319"/>
      <c r="K60" s="320"/>
      <c r="L60" s="321"/>
    </row>
    <row r="61" spans="1:13" x14ac:dyDescent="0.25">
      <c r="A61" s="33"/>
      <c r="B61" s="33"/>
      <c r="C61" s="33"/>
      <c r="D61" s="33"/>
      <c r="E61" s="33"/>
      <c r="F61" s="33"/>
      <c r="G61" s="33"/>
      <c r="H61" s="75"/>
      <c r="I61" s="75"/>
      <c r="J61" s="75"/>
      <c r="K61" s="75"/>
      <c r="L61" s="75"/>
    </row>
  </sheetData>
  <mergeCells count="116">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I31:K31"/>
    <mergeCell ref="A35:B37"/>
    <mergeCell ref="C35:D37"/>
    <mergeCell ref="E35:K37"/>
    <mergeCell ref="L35:L37"/>
    <mergeCell ref="A29:B29"/>
    <mergeCell ref="C29:D29"/>
    <mergeCell ref="E29:F29"/>
    <mergeCell ref="A30:B30"/>
    <mergeCell ref="C30:D30"/>
    <mergeCell ref="E30:F30"/>
    <mergeCell ref="A40:B40"/>
    <mergeCell ref="C40:D40"/>
    <mergeCell ref="E40:K40"/>
    <mergeCell ref="A41:B41"/>
    <mergeCell ref="C41:D41"/>
    <mergeCell ref="E41:K41"/>
    <mergeCell ref="A38:B38"/>
    <mergeCell ref="C38:D38"/>
    <mergeCell ref="E38:K38"/>
    <mergeCell ref="A39:B39"/>
    <mergeCell ref="C39:D39"/>
    <mergeCell ref="E39:K39"/>
    <mergeCell ref="A44:B44"/>
    <mergeCell ref="C44:D44"/>
    <mergeCell ref="E44:K44"/>
    <mergeCell ref="A45:B45"/>
    <mergeCell ref="C45:D45"/>
    <mergeCell ref="E45:K45"/>
    <mergeCell ref="A42:B42"/>
    <mergeCell ref="C42:D42"/>
    <mergeCell ref="E42:K42"/>
    <mergeCell ref="A43:B43"/>
    <mergeCell ref="C43:D43"/>
    <mergeCell ref="E43:K43"/>
    <mergeCell ref="C53:D53"/>
    <mergeCell ref="A54:K54"/>
    <mergeCell ref="A55:L55"/>
    <mergeCell ref="A56:J56"/>
    <mergeCell ref="K56:L56"/>
    <mergeCell ref="A57:L57"/>
    <mergeCell ref="A46:K46"/>
    <mergeCell ref="A50:B50"/>
    <mergeCell ref="C50:D50"/>
    <mergeCell ref="G50:K53"/>
    <mergeCell ref="L50:L51"/>
    <mergeCell ref="A51:B51"/>
    <mergeCell ref="C51:D51"/>
    <mergeCell ref="A52:B52"/>
    <mergeCell ref="C52:D52"/>
    <mergeCell ref="A53:B53"/>
    <mergeCell ref="A58:E58"/>
    <mergeCell ref="F58:H58"/>
    <mergeCell ref="I58:I60"/>
    <mergeCell ref="J58:L58"/>
    <mergeCell ref="A59:E59"/>
    <mergeCell ref="F59:H59"/>
    <mergeCell ref="J59:L59"/>
    <mergeCell ref="A60:E60"/>
    <mergeCell ref="F60:H60"/>
    <mergeCell ref="J60:L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topLeftCell="A18" workbookViewId="0">
      <selection activeCell="A18" sqref="A18:B18"/>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84" t="s">
        <v>27</v>
      </c>
      <c r="B6" s="83" t="s">
        <v>28</v>
      </c>
      <c r="C6" s="83" t="s">
        <v>29</v>
      </c>
      <c r="D6" s="30"/>
      <c r="E6" s="30"/>
      <c r="F6" s="30"/>
      <c r="G6" s="30"/>
      <c r="H6" s="31"/>
      <c r="I6" s="31"/>
      <c r="J6" s="31"/>
      <c r="K6" s="31"/>
      <c r="L6" s="32"/>
    </row>
    <row r="7" spans="1:12" x14ac:dyDescent="0.25">
      <c r="A7" s="41" t="s">
        <v>78</v>
      </c>
      <c r="B7" s="42" t="s">
        <v>79</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89" t="s">
        <v>40</v>
      </c>
      <c r="K13" s="89" t="s">
        <v>40</v>
      </c>
      <c r="L13" s="89" t="s">
        <v>41</v>
      </c>
    </row>
    <row r="14" spans="1:12" x14ac:dyDescent="0.25">
      <c r="A14" s="396"/>
      <c r="B14" s="397"/>
      <c r="C14" s="396"/>
      <c r="D14" s="397"/>
      <c r="E14" s="361"/>
      <c r="F14" s="362"/>
      <c r="G14" s="399"/>
      <c r="H14" s="399"/>
      <c r="I14" s="399"/>
      <c r="J14" s="90" t="s">
        <v>42</v>
      </c>
      <c r="K14" s="90" t="s">
        <v>43</v>
      </c>
      <c r="L14" s="90" t="s">
        <v>44</v>
      </c>
    </row>
    <row r="15" spans="1:12" x14ac:dyDescent="0.25">
      <c r="A15" s="385">
        <v>1</v>
      </c>
      <c r="B15" s="384"/>
      <c r="C15" s="386" t="s">
        <v>80</v>
      </c>
      <c r="D15" s="386"/>
      <c r="E15" s="383" t="s">
        <v>71</v>
      </c>
      <c r="F15" s="383"/>
      <c r="G15" s="59" t="s">
        <v>26</v>
      </c>
      <c r="H15" s="55">
        <v>323400</v>
      </c>
      <c r="I15" s="56"/>
      <c r="J15" s="57"/>
      <c r="K15" s="57"/>
      <c r="L15" s="58">
        <f t="shared" ref="L15:L30" si="0">H15</f>
        <v>323400</v>
      </c>
    </row>
    <row r="16" spans="1:12" x14ac:dyDescent="0.25">
      <c r="A16" s="387" t="s">
        <v>77</v>
      </c>
      <c r="B16" s="386"/>
      <c r="C16" s="384">
        <v>2</v>
      </c>
      <c r="D16" s="384"/>
      <c r="E16" s="388" t="s">
        <v>72</v>
      </c>
      <c r="F16" s="389"/>
      <c r="G16" s="92" t="s">
        <v>26</v>
      </c>
      <c r="H16" s="55">
        <v>672300</v>
      </c>
      <c r="I16" s="56"/>
      <c r="J16" s="57"/>
      <c r="K16" s="57"/>
      <c r="L16" s="58">
        <f t="shared" si="0"/>
        <v>672300</v>
      </c>
    </row>
    <row r="17" spans="1:12" x14ac:dyDescent="0.25">
      <c r="A17" s="387" t="s">
        <v>77</v>
      </c>
      <c r="B17" s="386"/>
      <c r="C17" s="384">
        <v>1</v>
      </c>
      <c r="D17" s="384"/>
      <c r="E17" s="388" t="s">
        <v>83</v>
      </c>
      <c r="F17" s="389"/>
      <c r="G17" s="92" t="s">
        <v>26</v>
      </c>
      <c r="H17" s="60">
        <v>636400</v>
      </c>
      <c r="I17" s="56"/>
      <c r="J17" s="57"/>
      <c r="K17" s="57"/>
      <c r="L17" s="58">
        <f t="shared" si="0"/>
        <v>636400</v>
      </c>
    </row>
    <row r="18" spans="1:12" x14ac:dyDescent="0.25">
      <c r="A18" s="387" t="s">
        <v>77</v>
      </c>
      <c r="B18" s="386"/>
      <c r="C18" s="384">
        <v>1</v>
      </c>
      <c r="D18" s="384"/>
      <c r="E18" s="388" t="s">
        <v>86</v>
      </c>
      <c r="F18" s="389"/>
      <c r="G18" s="92" t="s">
        <v>26</v>
      </c>
      <c r="H18" s="55">
        <v>570600</v>
      </c>
      <c r="I18" s="56"/>
      <c r="J18" s="57"/>
      <c r="K18" s="57"/>
      <c r="L18" s="58">
        <f t="shared" si="0"/>
        <v>570600</v>
      </c>
    </row>
    <row r="19" spans="1:12" x14ac:dyDescent="0.25">
      <c r="A19" s="387" t="s">
        <v>77</v>
      </c>
      <c r="B19" s="386"/>
      <c r="C19" s="384">
        <v>1</v>
      </c>
      <c r="D19" s="384"/>
      <c r="E19" s="388" t="s">
        <v>89</v>
      </c>
      <c r="F19" s="389"/>
      <c r="G19" s="92" t="s">
        <v>26</v>
      </c>
      <c r="H19" s="55">
        <v>1060500</v>
      </c>
      <c r="I19" s="56"/>
      <c r="J19" s="57"/>
      <c r="K19" s="57"/>
      <c r="L19" s="58">
        <f t="shared" si="0"/>
        <v>1060500</v>
      </c>
    </row>
    <row r="20" spans="1:12" x14ac:dyDescent="0.25">
      <c r="A20" s="390">
        <v>45761</v>
      </c>
      <c r="B20" s="391"/>
      <c r="C20" s="322">
        <v>1</v>
      </c>
      <c r="D20" s="324"/>
      <c r="E20" s="392" t="s">
        <v>64</v>
      </c>
      <c r="F20" s="393"/>
      <c r="G20" s="92" t="s">
        <v>26</v>
      </c>
      <c r="H20" s="55">
        <v>50535800</v>
      </c>
      <c r="I20" s="56"/>
      <c r="J20" s="57"/>
      <c r="K20" s="57"/>
      <c r="L20" s="58">
        <f t="shared" si="0"/>
        <v>50535800</v>
      </c>
    </row>
    <row r="21" spans="1:12" x14ac:dyDescent="0.25">
      <c r="A21" s="385"/>
      <c r="B21" s="384"/>
      <c r="C21" s="386"/>
      <c r="D21" s="386"/>
      <c r="E21" s="383"/>
      <c r="F21" s="383"/>
      <c r="G21" s="59"/>
      <c r="H21" s="55"/>
      <c r="I21" s="56"/>
      <c r="J21" s="57"/>
      <c r="K21" s="57"/>
      <c r="L21" s="58">
        <f t="shared" si="0"/>
        <v>0</v>
      </c>
    </row>
    <row r="22" spans="1:12" x14ac:dyDescent="0.25">
      <c r="A22" s="375"/>
      <c r="B22" s="376"/>
      <c r="C22" s="322"/>
      <c r="D22" s="324"/>
      <c r="E22" s="383"/>
      <c r="F22" s="383"/>
      <c r="G22" s="59"/>
      <c r="H22" s="55"/>
      <c r="I22" s="56"/>
      <c r="J22" s="57"/>
      <c r="K22" s="57"/>
      <c r="L22" s="58">
        <f t="shared" si="0"/>
        <v>0</v>
      </c>
    </row>
    <row r="23" spans="1:12" x14ac:dyDescent="0.25">
      <c r="A23" s="375"/>
      <c r="B23" s="376"/>
      <c r="C23" s="384"/>
      <c r="D23" s="384"/>
      <c r="E23" s="383"/>
      <c r="F23" s="383"/>
      <c r="G23" s="59"/>
      <c r="H23" s="55"/>
      <c r="I23" s="56"/>
      <c r="J23" s="57"/>
      <c r="K23" s="57"/>
      <c r="L23" s="58">
        <f t="shared" si="0"/>
        <v>0</v>
      </c>
    </row>
    <row r="24" spans="1:12" x14ac:dyDescent="0.25">
      <c r="A24" s="375"/>
      <c r="B24" s="376"/>
      <c r="C24" s="379"/>
      <c r="D24" s="380"/>
      <c r="E24" s="383"/>
      <c r="F24" s="383"/>
      <c r="G24" s="59"/>
      <c r="H24" s="55"/>
      <c r="I24" s="56"/>
      <c r="J24" s="57"/>
      <c r="K24" s="57"/>
      <c r="L24" s="58">
        <f t="shared" si="0"/>
        <v>0</v>
      </c>
    </row>
    <row r="25" spans="1:12" x14ac:dyDescent="0.25">
      <c r="A25" s="375"/>
      <c r="B25" s="376"/>
      <c r="C25" s="379"/>
      <c r="D25" s="380"/>
      <c r="E25" s="381"/>
      <c r="F25" s="382"/>
      <c r="G25" s="59"/>
      <c r="H25" s="55"/>
      <c r="I25" s="56"/>
      <c r="J25" s="57"/>
      <c r="K25" s="57"/>
      <c r="L25" s="58">
        <f t="shared" si="0"/>
        <v>0</v>
      </c>
    </row>
    <row r="26" spans="1:12" x14ac:dyDescent="0.25">
      <c r="A26" s="375"/>
      <c r="B26" s="376"/>
      <c r="C26" s="379"/>
      <c r="D26" s="380"/>
      <c r="E26" s="381"/>
      <c r="F26" s="382"/>
      <c r="G26" s="59"/>
      <c r="H26" s="55"/>
      <c r="I26" s="56"/>
      <c r="J26" s="57"/>
      <c r="K26" s="57"/>
      <c r="L26" s="58">
        <f t="shared" si="0"/>
        <v>0</v>
      </c>
    </row>
    <row r="27" spans="1:12" x14ac:dyDescent="0.25">
      <c r="A27" s="375"/>
      <c r="B27" s="376"/>
      <c r="C27" s="322"/>
      <c r="D27" s="324"/>
      <c r="E27" s="381"/>
      <c r="F27" s="382"/>
      <c r="G27" s="92"/>
      <c r="H27" s="60"/>
      <c r="I27" s="56"/>
      <c r="J27" s="57"/>
      <c r="K27" s="57"/>
      <c r="L27" s="58">
        <f t="shared" si="0"/>
        <v>0</v>
      </c>
    </row>
    <row r="28" spans="1:12" x14ac:dyDescent="0.25">
      <c r="A28" s="375"/>
      <c r="B28" s="376"/>
      <c r="C28" s="322"/>
      <c r="D28" s="324"/>
      <c r="E28" s="383"/>
      <c r="F28" s="383"/>
      <c r="G28" s="92"/>
      <c r="H28" s="60"/>
      <c r="I28" s="56"/>
      <c r="J28" s="57"/>
      <c r="K28" s="57"/>
      <c r="L28" s="58">
        <f t="shared" si="0"/>
        <v>0</v>
      </c>
    </row>
    <row r="29" spans="1:12" x14ac:dyDescent="0.25">
      <c r="A29" s="375"/>
      <c r="B29" s="376"/>
      <c r="C29" s="322"/>
      <c r="D29" s="324"/>
      <c r="E29" s="377"/>
      <c r="F29" s="378"/>
      <c r="G29" s="92"/>
      <c r="H29" s="60"/>
      <c r="I29" s="56"/>
      <c r="J29" s="57"/>
      <c r="K29" s="57"/>
      <c r="L29" s="58">
        <f t="shared" si="0"/>
        <v>0</v>
      </c>
    </row>
    <row r="30" spans="1:12" x14ac:dyDescent="0.25">
      <c r="A30" s="375"/>
      <c r="B30" s="376"/>
      <c r="C30" s="379"/>
      <c r="D30" s="380"/>
      <c r="E30" s="381"/>
      <c r="F30" s="382"/>
      <c r="G30" s="92"/>
      <c r="H30" s="60"/>
      <c r="I30" s="56"/>
      <c r="J30" s="57"/>
      <c r="K30" s="57"/>
      <c r="L30" s="58">
        <f t="shared" si="0"/>
        <v>0</v>
      </c>
    </row>
    <row r="31" spans="1:12" x14ac:dyDescent="0.25">
      <c r="A31" s="322"/>
      <c r="B31" s="324"/>
      <c r="C31" s="61" t="s">
        <v>45</v>
      </c>
      <c r="D31" s="62"/>
      <c r="E31" s="62"/>
      <c r="F31" s="62"/>
      <c r="G31" s="62"/>
      <c r="H31" s="63">
        <f>SUM(H15:H30)</f>
        <v>53799000</v>
      </c>
      <c r="I31" s="334"/>
      <c r="J31" s="335"/>
      <c r="K31" s="336"/>
      <c r="L31" s="63">
        <f>SUM(L15:L30)</f>
        <v>53799000</v>
      </c>
    </row>
    <row r="32" spans="1:12" x14ac:dyDescent="0.25">
      <c r="A32" s="64"/>
      <c r="B32" s="38"/>
      <c r="C32" s="29"/>
      <c r="D32" s="30"/>
      <c r="E32" s="30"/>
      <c r="F32" s="30"/>
      <c r="G32" s="30"/>
      <c r="H32" s="31"/>
      <c r="I32" s="31"/>
      <c r="J32" s="31"/>
      <c r="K32" s="31"/>
      <c r="L32" s="32"/>
    </row>
    <row r="33" spans="1:12" x14ac:dyDescent="0.25">
      <c r="A33" s="48" t="s">
        <v>46</v>
      </c>
      <c r="B33" s="38"/>
      <c r="C33" s="29"/>
      <c r="D33" s="30"/>
      <c r="E33" s="30"/>
      <c r="F33" s="30"/>
      <c r="G33" s="30"/>
      <c r="H33" s="31"/>
      <c r="I33" s="31"/>
      <c r="J33" s="31"/>
      <c r="K33" s="31"/>
      <c r="L33" s="32"/>
    </row>
    <row r="34" spans="1:12" x14ac:dyDescent="0.25">
      <c r="A34" s="48"/>
      <c r="B34" s="30"/>
      <c r="C34" s="30"/>
      <c r="D34" s="30"/>
      <c r="E34" s="30"/>
      <c r="F34" s="30"/>
      <c r="G34" s="30"/>
      <c r="H34" s="31"/>
      <c r="I34" s="31"/>
      <c r="J34" s="31"/>
      <c r="K34" s="31"/>
      <c r="L34" s="32"/>
    </row>
    <row r="35" spans="1:12" x14ac:dyDescent="0.25">
      <c r="A35" s="357" t="s">
        <v>47</v>
      </c>
      <c r="B35" s="358"/>
      <c r="C35" s="363" t="s">
        <v>48</v>
      </c>
      <c r="D35" s="364"/>
      <c r="E35" s="357" t="s">
        <v>49</v>
      </c>
      <c r="F35" s="369"/>
      <c r="G35" s="369"/>
      <c r="H35" s="369"/>
      <c r="I35" s="369"/>
      <c r="J35" s="369"/>
      <c r="K35" s="358"/>
      <c r="L35" s="372" t="s">
        <v>50</v>
      </c>
    </row>
    <row r="36" spans="1:12" x14ac:dyDescent="0.25">
      <c r="A36" s="359"/>
      <c r="B36" s="360"/>
      <c r="C36" s="365"/>
      <c r="D36" s="366"/>
      <c r="E36" s="359"/>
      <c r="F36" s="370"/>
      <c r="G36" s="370"/>
      <c r="H36" s="370"/>
      <c r="I36" s="370"/>
      <c r="J36" s="370"/>
      <c r="K36" s="360"/>
      <c r="L36" s="373"/>
    </row>
    <row r="37" spans="1:12" x14ac:dyDescent="0.25">
      <c r="A37" s="361"/>
      <c r="B37" s="362"/>
      <c r="C37" s="367"/>
      <c r="D37" s="368"/>
      <c r="E37" s="361"/>
      <c r="F37" s="371"/>
      <c r="G37" s="371"/>
      <c r="H37" s="371"/>
      <c r="I37" s="371"/>
      <c r="J37" s="371"/>
      <c r="K37" s="362"/>
      <c r="L37" s="374"/>
    </row>
    <row r="38" spans="1:12" x14ac:dyDescent="0.25">
      <c r="A38" s="352">
        <v>45717</v>
      </c>
      <c r="B38" s="353"/>
      <c r="C38" s="322" t="s">
        <v>100</v>
      </c>
      <c r="D38" s="324"/>
      <c r="E38" s="354" t="s">
        <v>101</v>
      </c>
      <c r="F38" s="355"/>
      <c r="G38" s="355"/>
      <c r="H38" s="355"/>
      <c r="I38" s="355"/>
      <c r="J38" s="355"/>
      <c r="K38" s="356"/>
      <c r="L38" s="55">
        <v>260000</v>
      </c>
    </row>
    <row r="39" spans="1:12" x14ac:dyDescent="0.25">
      <c r="A39" s="352">
        <v>45721</v>
      </c>
      <c r="B39" s="353"/>
      <c r="C39" s="322">
        <v>2246</v>
      </c>
      <c r="D39" s="324"/>
      <c r="E39" s="354" t="s">
        <v>81</v>
      </c>
      <c r="F39" s="355"/>
      <c r="G39" s="355"/>
      <c r="H39" s="355"/>
      <c r="I39" s="355"/>
      <c r="J39" s="355"/>
      <c r="K39" s="356"/>
      <c r="L39" s="55">
        <v>6150000</v>
      </c>
    </row>
    <row r="40" spans="1:12" x14ac:dyDescent="0.25">
      <c r="A40" s="352">
        <v>45723</v>
      </c>
      <c r="B40" s="353"/>
      <c r="C40" s="322">
        <v>2249</v>
      </c>
      <c r="D40" s="324"/>
      <c r="E40" s="354" t="s">
        <v>87</v>
      </c>
      <c r="F40" s="355"/>
      <c r="G40" s="355"/>
      <c r="H40" s="355"/>
      <c r="I40" s="355"/>
      <c r="J40" s="355"/>
      <c r="K40" s="356"/>
      <c r="L40" s="55">
        <v>10248000</v>
      </c>
    </row>
    <row r="41" spans="1:12" x14ac:dyDescent="0.25">
      <c r="A41" s="352">
        <v>45724</v>
      </c>
      <c r="B41" s="353"/>
      <c r="C41" s="322">
        <v>2255</v>
      </c>
      <c r="D41" s="324"/>
      <c r="E41" s="354" t="s">
        <v>84</v>
      </c>
      <c r="F41" s="355"/>
      <c r="G41" s="355"/>
      <c r="H41" s="355"/>
      <c r="I41" s="355"/>
      <c r="J41" s="355"/>
      <c r="K41" s="356"/>
      <c r="L41" s="55">
        <v>5514000</v>
      </c>
    </row>
    <row r="42" spans="1:12" x14ac:dyDescent="0.25">
      <c r="A42" s="352">
        <v>45738</v>
      </c>
      <c r="B42" s="353"/>
      <c r="C42" s="322">
        <v>2280</v>
      </c>
      <c r="D42" s="324"/>
      <c r="E42" s="354" t="s">
        <v>99</v>
      </c>
      <c r="F42" s="355"/>
      <c r="G42" s="355"/>
      <c r="H42" s="355"/>
      <c r="I42" s="355"/>
      <c r="J42" s="355"/>
      <c r="K42" s="356"/>
      <c r="L42" s="55">
        <v>4190000</v>
      </c>
    </row>
    <row r="43" spans="1:12" x14ac:dyDescent="0.25">
      <c r="A43" s="352">
        <v>45738</v>
      </c>
      <c r="B43" s="353"/>
      <c r="C43" s="322">
        <v>2282</v>
      </c>
      <c r="D43" s="324"/>
      <c r="E43" s="354" t="s">
        <v>96</v>
      </c>
      <c r="F43" s="355"/>
      <c r="G43" s="355"/>
      <c r="H43" s="355"/>
      <c r="I43" s="355"/>
      <c r="J43" s="355"/>
      <c r="K43" s="356"/>
      <c r="L43" s="55">
        <v>4641000</v>
      </c>
    </row>
    <row r="44" spans="1:12" x14ac:dyDescent="0.25">
      <c r="A44" s="352">
        <v>45740</v>
      </c>
      <c r="B44" s="353"/>
      <c r="C44" s="322">
        <v>2286</v>
      </c>
      <c r="D44" s="324"/>
      <c r="E44" s="86" t="s">
        <v>90</v>
      </c>
      <c r="F44" s="87"/>
      <c r="G44" s="87"/>
      <c r="H44" s="87"/>
      <c r="I44" s="87"/>
      <c r="J44" s="87"/>
      <c r="K44" s="88"/>
      <c r="L44" s="55">
        <v>8854000</v>
      </c>
    </row>
    <row r="45" spans="1:12" x14ac:dyDescent="0.25">
      <c r="A45" s="352">
        <v>45742</v>
      </c>
      <c r="B45" s="353"/>
      <c r="C45" s="322">
        <v>2290</v>
      </c>
      <c r="D45" s="324"/>
      <c r="E45" s="86" t="s">
        <v>94</v>
      </c>
      <c r="F45" s="87"/>
      <c r="G45" s="87"/>
      <c r="H45" s="87"/>
      <c r="I45" s="87"/>
      <c r="J45" s="87"/>
      <c r="K45" s="88"/>
      <c r="L45" s="55">
        <v>8308000</v>
      </c>
    </row>
    <row r="46" spans="1:12" x14ac:dyDescent="0.25">
      <c r="A46" s="352">
        <v>45748</v>
      </c>
      <c r="B46" s="353"/>
      <c r="C46" s="322">
        <v>2311</v>
      </c>
      <c r="D46" s="324"/>
      <c r="E46" s="86" t="s">
        <v>92</v>
      </c>
      <c r="F46" s="87"/>
      <c r="G46" s="87"/>
      <c r="H46" s="87"/>
      <c r="I46" s="87"/>
      <c r="J46" s="87"/>
      <c r="K46" s="88"/>
      <c r="L46" s="55">
        <v>5514000</v>
      </c>
    </row>
    <row r="47" spans="1:12" x14ac:dyDescent="0.25">
      <c r="A47" s="352">
        <v>45759</v>
      </c>
      <c r="B47" s="353"/>
      <c r="C47" s="322" t="s">
        <v>100</v>
      </c>
      <c r="D47" s="324"/>
      <c r="E47" s="86" t="s">
        <v>102</v>
      </c>
      <c r="F47" s="87"/>
      <c r="G47" s="87"/>
      <c r="H47" s="87"/>
      <c r="I47" s="87"/>
      <c r="J47" s="87"/>
      <c r="K47" s="88"/>
      <c r="L47" s="55">
        <v>120000</v>
      </c>
    </row>
    <row r="48" spans="1:12" x14ac:dyDescent="0.25">
      <c r="A48" s="334" t="s">
        <v>51</v>
      </c>
      <c r="B48" s="335"/>
      <c r="C48" s="335"/>
      <c r="D48" s="335"/>
      <c r="E48" s="335"/>
      <c r="F48" s="335"/>
      <c r="G48" s="335"/>
      <c r="H48" s="335"/>
      <c r="I48" s="335"/>
      <c r="J48" s="335"/>
      <c r="K48" s="336"/>
      <c r="L48" s="63">
        <f>SUM(L38:L47)</f>
        <v>53799000</v>
      </c>
    </row>
    <row r="49" spans="1:13" x14ac:dyDescent="0.25">
      <c r="A49" s="65"/>
      <c r="B49" s="66"/>
      <c r="C49" s="66"/>
      <c r="D49" s="66"/>
      <c r="E49" s="66"/>
      <c r="F49" s="66"/>
      <c r="G49" s="66"/>
      <c r="H49" s="31"/>
      <c r="I49" s="31"/>
      <c r="J49" s="31"/>
      <c r="K49" s="31"/>
      <c r="L49" s="31"/>
    </row>
    <row r="50" spans="1:13" x14ac:dyDescent="0.25">
      <c r="A50" s="48" t="s">
        <v>52</v>
      </c>
      <c r="B50" s="30"/>
      <c r="C50" s="30"/>
      <c r="D50" s="30"/>
      <c r="E50" s="30"/>
      <c r="F50" s="30"/>
      <c r="G50" s="30"/>
      <c r="H50" s="31"/>
      <c r="I50" s="31"/>
      <c r="J50" s="31"/>
      <c r="K50" s="31"/>
      <c r="L50" s="31"/>
    </row>
    <row r="51" spans="1:13" x14ac:dyDescent="0.25">
      <c r="A51" s="44"/>
      <c r="B51" s="45"/>
      <c r="C51" s="45"/>
      <c r="D51" s="45"/>
      <c r="E51" s="45"/>
      <c r="F51" s="45"/>
      <c r="G51" s="45"/>
      <c r="H51" s="31"/>
      <c r="I51" s="31"/>
      <c r="J51" s="46"/>
      <c r="K51" s="46"/>
      <c r="L51" s="31"/>
    </row>
    <row r="52" spans="1:13" x14ac:dyDescent="0.25">
      <c r="A52" s="337" t="s">
        <v>53</v>
      </c>
      <c r="B52" s="338"/>
      <c r="C52" s="337" t="s">
        <v>54</v>
      </c>
      <c r="D52" s="338"/>
      <c r="E52" s="85" t="s">
        <v>55</v>
      </c>
      <c r="F52" s="68" t="s">
        <v>37</v>
      </c>
      <c r="G52" s="339"/>
      <c r="H52" s="340"/>
      <c r="I52" s="340"/>
      <c r="J52" s="340"/>
      <c r="K52" s="341"/>
      <c r="L52" s="348" t="s">
        <v>56</v>
      </c>
    </row>
    <row r="53" spans="1:13" x14ac:dyDescent="0.25">
      <c r="A53" s="316"/>
      <c r="B53" s="317"/>
      <c r="C53" s="350" t="s">
        <v>57</v>
      </c>
      <c r="D53" s="351"/>
      <c r="E53" s="69"/>
      <c r="F53" s="44"/>
      <c r="G53" s="342"/>
      <c r="H53" s="343"/>
      <c r="I53" s="343"/>
      <c r="J53" s="343"/>
      <c r="K53" s="344"/>
      <c r="L53" s="349"/>
    </row>
    <row r="54" spans="1:13" x14ac:dyDescent="0.25">
      <c r="A54" s="310"/>
      <c r="B54" s="312"/>
      <c r="C54" s="310"/>
      <c r="D54" s="312"/>
      <c r="E54" s="70"/>
      <c r="F54" s="91"/>
      <c r="G54" s="342"/>
      <c r="H54" s="343"/>
      <c r="I54" s="343"/>
      <c r="J54" s="343"/>
      <c r="K54" s="344"/>
      <c r="L54" s="55"/>
    </row>
    <row r="55" spans="1:13" x14ac:dyDescent="0.25">
      <c r="A55" s="310"/>
      <c r="B55" s="312"/>
      <c r="C55" s="310"/>
      <c r="D55" s="312"/>
      <c r="E55" s="70"/>
      <c r="F55" s="64"/>
      <c r="G55" s="345"/>
      <c r="H55" s="346"/>
      <c r="I55" s="346"/>
      <c r="J55" s="346"/>
      <c r="K55" s="347"/>
      <c r="L55" s="72"/>
    </row>
    <row r="56" spans="1:13" x14ac:dyDescent="0.25">
      <c r="A56" s="322" t="s">
        <v>41</v>
      </c>
      <c r="B56" s="323"/>
      <c r="C56" s="323"/>
      <c r="D56" s="323"/>
      <c r="E56" s="323"/>
      <c r="F56" s="323"/>
      <c r="G56" s="323"/>
      <c r="H56" s="323"/>
      <c r="I56" s="323"/>
      <c r="J56" s="323"/>
      <c r="K56" s="324"/>
      <c r="L56" s="73">
        <f>SUM(L54:L55)</f>
        <v>0</v>
      </c>
    </row>
    <row r="57" spans="1:13" x14ac:dyDescent="0.25">
      <c r="A57" s="325"/>
      <c r="B57" s="326"/>
      <c r="C57" s="326"/>
      <c r="D57" s="326"/>
      <c r="E57" s="326"/>
      <c r="F57" s="326"/>
      <c r="G57" s="326"/>
      <c r="H57" s="326"/>
      <c r="I57" s="326"/>
      <c r="J57" s="326"/>
      <c r="K57" s="326"/>
      <c r="L57" s="326"/>
    </row>
    <row r="58" spans="1:13" x14ac:dyDescent="0.25">
      <c r="A58" s="327" t="s">
        <v>58</v>
      </c>
      <c r="B58" s="328"/>
      <c r="C58" s="328"/>
      <c r="D58" s="328"/>
      <c r="E58" s="328"/>
      <c r="F58" s="328"/>
      <c r="G58" s="328"/>
      <c r="H58" s="328"/>
      <c r="I58" s="328"/>
      <c r="J58" s="329"/>
      <c r="K58" s="330">
        <f>K9+L31-L48-L56</f>
        <v>0</v>
      </c>
      <c r="L58" s="330"/>
    </row>
    <row r="59" spans="1:13" x14ac:dyDescent="0.25">
      <c r="A59" s="331"/>
      <c r="B59" s="332"/>
      <c r="C59" s="332"/>
      <c r="D59" s="332"/>
      <c r="E59" s="332"/>
      <c r="F59" s="332"/>
      <c r="G59" s="332"/>
      <c r="H59" s="332"/>
      <c r="I59" s="332"/>
      <c r="J59" s="332"/>
      <c r="K59" s="332"/>
      <c r="L59" s="333"/>
    </row>
    <row r="60" spans="1:13" x14ac:dyDescent="0.25">
      <c r="A60" s="305" t="s">
        <v>59</v>
      </c>
      <c r="B60" s="305"/>
      <c r="C60" s="305"/>
      <c r="D60" s="305"/>
      <c r="E60" s="305"/>
      <c r="F60" s="305" t="s">
        <v>60</v>
      </c>
      <c r="G60" s="305"/>
      <c r="H60" s="305"/>
      <c r="I60" s="306"/>
      <c r="J60" s="309" t="s">
        <v>61</v>
      </c>
      <c r="K60" s="309"/>
      <c r="L60" s="309"/>
    </row>
    <row r="61" spans="1:13" x14ac:dyDescent="0.25">
      <c r="A61" s="310"/>
      <c r="B61" s="311"/>
      <c r="C61" s="311"/>
      <c r="D61" s="311"/>
      <c r="E61" s="312"/>
      <c r="F61" s="310"/>
      <c r="G61" s="311"/>
      <c r="H61" s="312"/>
      <c r="I61" s="307"/>
      <c r="J61" s="313"/>
      <c r="K61" s="314"/>
      <c r="L61" s="315"/>
      <c r="M61" s="74"/>
    </row>
    <row r="62" spans="1:13" x14ac:dyDescent="0.25">
      <c r="A62" s="316"/>
      <c r="B62" s="317"/>
      <c r="C62" s="317"/>
      <c r="D62" s="317"/>
      <c r="E62" s="318"/>
      <c r="F62" s="316"/>
      <c r="G62" s="317"/>
      <c r="H62" s="318"/>
      <c r="I62" s="308"/>
      <c r="J62" s="319"/>
      <c r="K62" s="320"/>
      <c r="L62" s="321"/>
    </row>
    <row r="63" spans="1:13" x14ac:dyDescent="0.25">
      <c r="A63" s="33"/>
      <c r="B63" s="33"/>
      <c r="C63" s="33"/>
      <c r="D63" s="33"/>
      <c r="E63" s="33"/>
      <c r="F63" s="33"/>
      <c r="G63" s="33"/>
      <c r="H63" s="75"/>
      <c r="I63" s="75"/>
      <c r="J63" s="75"/>
      <c r="K63" s="75"/>
      <c r="L63" s="75"/>
    </row>
  </sheetData>
  <mergeCells count="118">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L35:L37"/>
    <mergeCell ref="A29:B29"/>
    <mergeCell ref="C29:D29"/>
    <mergeCell ref="E29:F29"/>
    <mergeCell ref="A30:B30"/>
    <mergeCell ref="C30:D30"/>
    <mergeCell ref="E30:F30"/>
    <mergeCell ref="A27:B27"/>
    <mergeCell ref="C27:D27"/>
    <mergeCell ref="E27:F27"/>
    <mergeCell ref="A28:B28"/>
    <mergeCell ref="C28:D28"/>
    <mergeCell ref="E28:F28"/>
    <mergeCell ref="A39:B39"/>
    <mergeCell ref="C39:D39"/>
    <mergeCell ref="E39:K39"/>
    <mergeCell ref="A40:B40"/>
    <mergeCell ref="C40:D40"/>
    <mergeCell ref="E40:K40"/>
    <mergeCell ref="A31:B31"/>
    <mergeCell ref="I31:K31"/>
    <mergeCell ref="A35:B37"/>
    <mergeCell ref="C35:D37"/>
    <mergeCell ref="E35:K37"/>
    <mergeCell ref="A38:B38"/>
    <mergeCell ref="C38:D38"/>
    <mergeCell ref="E38:K38"/>
    <mergeCell ref="E43:K43"/>
    <mergeCell ref="A44:B44"/>
    <mergeCell ref="C44:D44"/>
    <mergeCell ref="A41:B41"/>
    <mergeCell ref="C41:D41"/>
    <mergeCell ref="E41:K41"/>
    <mergeCell ref="A42:B42"/>
    <mergeCell ref="C42:D42"/>
    <mergeCell ref="E42:K42"/>
    <mergeCell ref="A55:B55"/>
    <mergeCell ref="A45:B45"/>
    <mergeCell ref="C45:D45"/>
    <mergeCell ref="A46:B46"/>
    <mergeCell ref="C46:D46"/>
    <mergeCell ref="A47:B47"/>
    <mergeCell ref="C47:D47"/>
    <mergeCell ref="C55:D55"/>
    <mergeCell ref="A43:B43"/>
    <mergeCell ref="C43:D43"/>
    <mergeCell ref="A56:K56"/>
    <mergeCell ref="A57:L57"/>
    <mergeCell ref="A58:J58"/>
    <mergeCell ref="K58:L58"/>
    <mergeCell ref="A59:L59"/>
    <mergeCell ref="A48:K48"/>
    <mergeCell ref="A52:B52"/>
    <mergeCell ref="C52:D52"/>
    <mergeCell ref="A60:E60"/>
    <mergeCell ref="F60:H60"/>
    <mergeCell ref="I60:I62"/>
    <mergeCell ref="J60:L60"/>
    <mergeCell ref="A61:E61"/>
    <mergeCell ref="F61:H61"/>
    <mergeCell ref="J61:L61"/>
    <mergeCell ref="A62:E62"/>
    <mergeCell ref="F62:H62"/>
    <mergeCell ref="J62:L62"/>
    <mergeCell ref="G52:K55"/>
    <mergeCell ref="L52:L53"/>
    <mergeCell ref="A53:B53"/>
    <mergeCell ref="C53:D53"/>
    <mergeCell ref="A54:B54"/>
    <mergeCell ref="C54:D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25" workbookViewId="0">
      <selection activeCell="L42" sqref="L42"/>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94" t="s">
        <v>27</v>
      </c>
      <c r="B6" s="99" t="s">
        <v>28</v>
      </c>
      <c r="C6" s="99" t="s">
        <v>29</v>
      </c>
      <c r="D6" s="30"/>
      <c r="E6" s="30"/>
      <c r="F6" s="30"/>
      <c r="G6" s="30"/>
      <c r="H6" s="31"/>
      <c r="I6" s="31"/>
      <c r="J6" s="31"/>
      <c r="K6" s="31"/>
      <c r="L6" s="32"/>
    </row>
    <row r="7" spans="1:12" x14ac:dyDescent="0.25">
      <c r="A7" s="41" t="s">
        <v>74</v>
      </c>
      <c r="B7" s="42" t="s">
        <v>122</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97" t="s">
        <v>40</v>
      </c>
      <c r="K13" s="97" t="s">
        <v>40</v>
      </c>
      <c r="L13" s="97" t="s">
        <v>41</v>
      </c>
    </row>
    <row r="14" spans="1:12" x14ac:dyDescent="0.25">
      <c r="A14" s="396"/>
      <c r="B14" s="397"/>
      <c r="C14" s="396"/>
      <c r="D14" s="397"/>
      <c r="E14" s="361"/>
      <c r="F14" s="362"/>
      <c r="G14" s="399"/>
      <c r="H14" s="399"/>
      <c r="I14" s="399"/>
      <c r="J14" s="98" t="s">
        <v>42</v>
      </c>
      <c r="K14" s="98" t="s">
        <v>43</v>
      </c>
      <c r="L14" s="98" t="s">
        <v>44</v>
      </c>
    </row>
    <row r="15" spans="1:12" x14ac:dyDescent="0.25">
      <c r="A15" s="385">
        <v>1</v>
      </c>
      <c r="B15" s="384"/>
      <c r="C15" s="386" t="s">
        <v>77</v>
      </c>
      <c r="D15" s="386"/>
      <c r="E15" s="383" t="s">
        <v>104</v>
      </c>
      <c r="F15" s="383"/>
      <c r="G15" s="59" t="s">
        <v>26</v>
      </c>
      <c r="H15" s="55">
        <v>433600</v>
      </c>
      <c r="I15" s="56"/>
      <c r="J15" s="57"/>
      <c r="K15" s="57"/>
      <c r="L15" s="58">
        <f t="shared" ref="L15:L30" si="0">H15</f>
        <v>433600</v>
      </c>
    </row>
    <row r="16" spans="1:12" x14ac:dyDescent="0.25">
      <c r="A16" s="385">
        <v>1</v>
      </c>
      <c r="B16" s="384"/>
      <c r="C16" s="386" t="s">
        <v>77</v>
      </c>
      <c r="D16" s="386"/>
      <c r="E16" s="383" t="s">
        <v>103</v>
      </c>
      <c r="F16" s="383"/>
      <c r="G16" s="59" t="s">
        <v>26</v>
      </c>
      <c r="H16" s="55">
        <v>1661600</v>
      </c>
      <c r="I16" s="56"/>
      <c r="J16" s="57"/>
      <c r="K16" s="57"/>
      <c r="L16" s="58">
        <f t="shared" si="0"/>
        <v>1661600</v>
      </c>
    </row>
    <row r="17" spans="1:12" x14ac:dyDescent="0.25">
      <c r="A17" s="387" t="s">
        <v>77</v>
      </c>
      <c r="B17" s="386"/>
      <c r="C17" s="384">
        <v>1</v>
      </c>
      <c r="D17" s="384"/>
      <c r="E17" s="388" t="s">
        <v>105</v>
      </c>
      <c r="F17" s="389"/>
      <c r="G17" s="96" t="s">
        <v>26</v>
      </c>
      <c r="H17" s="60">
        <v>480300</v>
      </c>
      <c r="I17" s="56"/>
      <c r="J17" s="57"/>
      <c r="K17" s="57"/>
      <c r="L17" s="58">
        <f t="shared" si="0"/>
        <v>480300</v>
      </c>
    </row>
    <row r="18" spans="1:12" x14ac:dyDescent="0.25">
      <c r="A18" s="387" t="s">
        <v>77</v>
      </c>
      <c r="B18" s="386"/>
      <c r="C18" s="384">
        <v>1</v>
      </c>
      <c r="D18" s="384"/>
      <c r="E18" s="388" t="s">
        <v>106</v>
      </c>
      <c r="F18" s="389"/>
      <c r="G18" s="96" t="s">
        <v>26</v>
      </c>
      <c r="H18" s="55">
        <v>418100</v>
      </c>
      <c r="I18" s="56"/>
      <c r="J18" s="57"/>
      <c r="K18" s="57"/>
      <c r="L18" s="58">
        <f t="shared" si="0"/>
        <v>418100</v>
      </c>
    </row>
    <row r="19" spans="1:12" x14ac:dyDescent="0.25">
      <c r="A19" s="387" t="s">
        <v>77</v>
      </c>
      <c r="B19" s="386"/>
      <c r="C19" s="384">
        <v>1</v>
      </c>
      <c r="D19" s="384"/>
      <c r="E19" s="388" t="s">
        <v>107</v>
      </c>
      <c r="F19" s="389"/>
      <c r="G19" s="96" t="s">
        <v>26</v>
      </c>
      <c r="H19" s="55">
        <v>629900</v>
      </c>
      <c r="I19" s="56"/>
      <c r="J19" s="57"/>
      <c r="K19" s="57"/>
      <c r="L19" s="58">
        <f t="shared" si="0"/>
        <v>629900</v>
      </c>
    </row>
    <row r="20" spans="1:12" x14ac:dyDescent="0.25">
      <c r="A20" s="387" t="s">
        <v>77</v>
      </c>
      <c r="B20" s="386"/>
      <c r="C20" s="322">
        <v>3</v>
      </c>
      <c r="D20" s="324"/>
      <c r="E20" s="392" t="s">
        <v>71</v>
      </c>
      <c r="F20" s="393"/>
      <c r="G20" s="96" t="s">
        <v>26</v>
      </c>
      <c r="H20" s="55">
        <v>323400</v>
      </c>
      <c r="I20" s="56"/>
      <c r="J20" s="57"/>
      <c r="K20" s="57"/>
      <c r="L20" s="58">
        <f t="shared" si="0"/>
        <v>323400</v>
      </c>
    </row>
    <row r="21" spans="1:12" x14ac:dyDescent="0.25">
      <c r="A21" s="385">
        <v>1</v>
      </c>
      <c r="B21" s="384"/>
      <c r="C21" s="386" t="s">
        <v>80</v>
      </c>
      <c r="D21" s="386"/>
      <c r="E21" s="383" t="s">
        <v>89</v>
      </c>
      <c r="F21" s="383"/>
      <c r="G21" s="59" t="s">
        <v>26</v>
      </c>
      <c r="H21" s="55">
        <v>1060500</v>
      </c>
      <c r="I21" s="56"/>
      <c r="J21" s="57"/>
      <c r="K21" s="57"/>
      <c r="L21" s="58">
        <f t="shared" si="0"/>
        <v>1060500</v>
      </c>
    </row>
    <row r="22" spans="1:12" x14ac:dyDescent="0.25">
      <c r="A22" s="375">
        <v>1</v>
      </c>
      <c r="B22" s="376"/>
      <c r="C22" s="322">
        <v>2</v>
      </c>
      <c r="D22" s="324"/>
      <c r="E22" s="383" t="s">
        <v>83</v>
      </c>
      <c r="F22" s="383"/>
      <c r="G22" s="59" t="s">
        <v>26</v>
      </c>
      <c r="H22" s="55">
        <v>636400</v>
      </c>
      <c r="I22" s="56"/>
      <c r="J22" s="57"/>
      <c r="K22" s="57"/>
      <c r="L22" s="58">
        <f t="shared" si="0"/>
        <v>636400</v>
      </c>
    </row>
    <row r="23" spans="1:12" x14ac:dyDescent="0.25">
      <c r="A23" s="375">
        <v>1</v>
      </c>
      <c r="B23" s="376"/>
      <c r="C23" s="384">
        <v>3</v>
      </c>
      <c r="D23" s="384"/>
      <c r="E23" s="383" t="s">
        <v>72</v>
      </c>
      <c r="F23" s="383"/>
      <c r="G23" s="59" t="s">
        <v>26</v>
      </c>
      <c r="H23" s="55">
        <v>672300</v>
      </c>
      <c r="I23" s="56"/>
      <c r="J23" s="57"/>
      <c r="K23" s="57"/>
      <c r="L23" s="58">
        <f t="shared" si="0"/>
        <v>672300</v>
      </c>
    </row>
    <row r="24" spans="1:12" x14ac:dyDescent="0.25">
      <c r="A24" s="390">
        <v>45787</v>
      </c>
      <c r="B24" s="391"/>
      <c r="C24" s="322">
        <v>1</v>
      </c>
      <c r="D24" s="324"/>
      <c r="E24" s="392" t="s">
        <v>64</v>
      </c>
      <c r="F24" s="393"/>
      <c r="G24" s="59" t="s">
        <v>26</v>
      </c>
      <c r="H24" s="55">
        <v>40674500</v>
      </c>
      <c r="I24" s="56"/>
      <c r="J24" s="57"/>
      <c r="K24" s="57"/>
      <c r="L24" s="58">
        <f t="shared" si="0"/>
        <v>40674500</v>
      </c>
    </row>
    <row r="25" spans="1:12" x14ac:dyDescent="0.25">
      <c r="A25" s="375"/>
      <c r="B25" s="376"/>
      <c r="C25" s="379"/>
      <c r="D25" s="380"/>
      <c r="E25" s="381"/>
      <c r="F25" s="382"/>
      <c r="G25" s="59"/>
      <c r="H25" s="55"/>
      <c r="I25" s="56"/>
      <c r="J25" s="57"/>
      <c r="K25" s="57"/>
      <c r="L25" s="58">
        <f t="shared" si="0"/>
        <v>0</v>
      </c>
    </row>
    <row r="26" spans="1:12" x14ac:dyDescent="0.25">
      <c r="A26" s="375"/>
      <c r="B26" s="376"/>
      <c r="C26" s="379"/>
      <c r="D26" s="380"/>
      <c r="E26" s="381"/>
      <c r="F26" s="382"/>
      <c r="G26" s="59"/>
      <c r="H26" s="55"/>
      <c r="I26" s="56"/>
      <c r="J26" s="57"/>
      <c r="K26" s="57"/>
      <c r="L26" s="58">
        <f t="shared" si="0"/>
        <v>0</v>
      </c>
    </row>
    <row r="27" spans="1:12" x14ac:dyDescent="0.25">
      <c r="A27" s="375"/>
      <c r="B27" s="376"/>
      <c r="C27" s="322"/>
      <c r="D27" s="324"/>
      <c r="E27" s="381"/>
      <c r="F27" s="382"/>
      <c r="G27" s="96"/>
      <c r="H27" s="60"/>
      <c r="I27" s="56"/>
      <c r="J27" s="57"/>
      <c r="K27" s="57"/>
      <c r="L27" s="58">
        <f t="shared" si="0"/>
        <v>0</v>
      </c>
    </row>
    <row r="28" spans="1:12" x14ac:dyDescent="0.25">
      <c r="A28" s="375"/>
      <c r="B28" s="376"/>
      <c r="C28" s="322"/>
      <c r="D28" s="324"/>
      <c r="E28" s="383"/>
      <c r="F28" s="383"/>
      <c r="G28" s="96"/>
      <c r="H28" s="60"/>
      <c r="I28" s="56"/>
      <c r="J28" s="57"/>
      <c r="K28" s="57"/>
      <c r="L28" s="58">
        <f t="shared" si="0"/>
        <v>0</v>
      </c>
    </row>
    <row r="29" spans="1:12" x14ac:dyDescent="0.25">
      <c r="A29" s="375"/>
      <c r="B29" s="376"/>
      <c r="C29" s="322"/>
      <c r="D29" s="324"/>
      <c r="E29" s="377"/>
      <c r="F29" s="378"/>
      <c r="G29" s="96"/>
      <c r="H29" s="60"/>
      <c r="I29" s="56"/>
      <c r="J29" s="57"/>
      <c r="K29" s="57"/>
      <c r="L29" s="58">
        <f t="shared" si="0"/>
        <v>0</v>
      </c>
    </row>
    <row r="30" spans="1:12" x14ac:dyDescent="0.25">
      <c r="A30" s="375"/>
      <c r="B30" s="376"/>
      <c r="C30" s="379"/>
      <c r="D30" s="380"/>
      <c r="E30" s="381"/>
      <c r="F30" s="382"/>
      <c r="G30" s="96"/>
      <c r="H30" s="60"/>
      <c r="I30" s="56"/>
      <c r="J30" s="57"/>
      <c r="K30" s="57"/>
      <c r="L30" s="58">
        <f t="shared" si="0"/>
        <v>0</v>
      </c>
    </row>
    <row r="31" spans="1:12" x14ac:dyDescent="0.25">
      <c r="A31" s="322"/>
      <c r="B31" s="324"/>
      <c r="C31" s="61" t="s">
        <v>45</v>
      </c>
      <c r="D31" s="62"/>
      <c r="E31" s="62"/>
      <c r="F31" s="62"/>
      <c r="G31" s="62"/>
      <c r="H31" s="63">
        <f>SUM(H15:H30)</f>
        <v>46990600</v>
      </c>
      <c r="I31" s="334"/>
      <c r="J31" s="335"/>
      <c r="K31" s="336"/>
      <c r="L31" s="63">
        <f>SUM(L15:L30)</f>
        <v>46990600</v>
      </c>
    </row>
    <row r="32" spans="1:12" x14ac:dyDescent="0.25">
      <c r="A32" s="64"/>
      <c r="B32" s="38"/>
      <c r="C32" s="29"/>
      <c r="D32" s="30"/>
      <c r="E32" s="30"/>
      <c r="F32" s="30"/>
      <c r="G32" s="30"/>
      <c r="H32" s="31"/>
      <c r="I32" s="31"/>
      <c r="J32" s="31"/>
      <c r="K32" s="31"/>
      <c r="L32" s="32"/>
    </row>
    <row r="33" spans="1:12" x14ac:dyDescent="0.25">
      <c r="A33" s="48" t="s">
        <v>46</v>
      </c>
      <c r="B33" s="38"/>
      <c r="C33" s="29"/>
      <c r="D33" s="30"/>
      <c r="E33" s="30"/>
      <c r="F33" s="30"/>
      <c r="G33" s="30"/>
      <c r="H33" s="31"/>
      <c r="I33" s="31"/>
      <c r="J33" s="31"/>
      <c r="K33" s="31"/>
      <c r="L33" s="32"/>
    </row>
    <row r="34" spans="1:12" x14ac:dyDescent="0.25">
      <c r="A34" s="48"/>
      <c r="B34" s="30"/>
      <c r="C34" s="30"/>
      <c r="D34" s="30"/>
      <c r="E34" s="30"/>
      <c r="F34" s="30"/>
      <c r="G34" s="30"/>
      <c r="H34" s="31"/>
      <c r="I34" s="31"/>
      <c r="J34" s="31"/>
      <c r="K34" s="31"/>
      <c r="L34" s="32"/>
    </row>
    <row r="35" spans="1:12" x14ac:dyDescent="0.25">
      <c r="A35" s="357" t="s">
        <v>47</v>
      </c>
      <c r="B35" s="358"/>
      <c r="C35" s="363" t="s">
        <v>48</v>
      </c>
      <c r="D35" s="364"/>
      <c r="E35" s="357" t="s">
        <v>49</v>
      </c>
      <c r="F35" s="369"/>
      <c r="G35" s="369"/>
      <c r="H35" s="369"/>
      <c r="I35" s="369"/>
      <c r="J35" s="369"/>
      <c r="K35" s="358"/>
      <c r="L35" s="372" t="s">
        <v>50</v>
      </c>
    </row>
    <row r="36" spans="1:12" x14ac:dyDescent="0.25">
      <c r="A36" s="359"/>
      <c r="B36" s="360"/>
      <c r="C36" s="365"/>
      <c r="D36" s="366"/>
      <c r="E36" s="359"/>
      <c r="F36" s="370"/>
      <c r="G36" s="370"/>
      <c r="H36" s="370"/>
      <c r="I36" s="370"/>
      <c r="J36" s="370"/>
      <c r="K36" s="360"/>
      <c r="L36" s="373"/>
    </row>
    <row r="37" spans="1:12" x14ac:dyDescent="0.25">
      <c r="A37" s="361"/>
      <c r="B37" s="362"/>
      <c r="C37" s="367"/>
      <c r="D37" s="368"/>
      <c r="E37" s="361"/>
      <c r="F37" s="371"/>
      <c r="G37" s="371"/>
      <c r="H37" s="371"/>
      <c r="I37" s="371"/>
      <c r="J37" s="371"/>
      <c r="K37" s="362"/>
      <c r="L37" s="374"/>
    </row>
    <row r="38" spans="1:12" x14ac:dyDescent="0.25">
      <c r="A38" s="352">
        <v>45768</v>
      </c>
      <c r="B38" s="353"/>
      <c r="C38" s="322">
        <v>2344</v>
      </c>
      <c r="D38" s="324"/>
      <c r="E38" s="354" t="s">
        <v>108</v>
      </c>
      <c r="F38" s="355"/>
      <c r="G38" s="355"/>
      <c r="H38" s="355"/>
      <c r="I38" s="355"/>
      <c r="J38" s="355"/>
      <c r="K38" s="356"/>
      <c r="L38" s="55">
        <v>4190000</v>
      </c>
    </row>
    <row r="39" spans="1:12" x14ac:dyDescent="0.25">
      <c r="A39" s="352">
        <v>45769</v>
      </c>
      <c r="B39" s="353"/>
      <c r="C39" s="322">
        <v>2346</v>
      </c>
      <c r="D39" s="324"/>
      <c r="E39" s="354" t="s">
        <v>110</v>
      </c>
      <c r="F39" s="355"/>
      <c r="G39" s="355"/>
      <c r="H39" s="355"/>
      <c r="I39" s="355"/>
      <c r="J39" s="355"/>
      <c r="K39" s="356"/>
      <c r="L39" s="55">
        <v>10537000</v>
      </c>
    </row>
    <row r="40" spans="1:12" x14ac:dyDescent="0.25">
      <c r="A40" s="352">
        <v>45770</v>
      </c>
      <c r="B40" s="353"/>
      <c r="C40" s="322">
        <v>2348</v>
      </c>
      <c r="D40" s="324"/>
      <c r="E40" s="354" t="s">
        <v>112</v>
      </c>
      <c r="F40" s="355"/>
      <c r="G40" s="355"/>
      <c r="H40" s="355"/>
      <c r="I40" s="355"/>
      <c r="J40" s="355"/>
      <c r="K40" s="356"/>
      <c r="L40" s="55">
        <v>5190000</v>
      </c>
    </row>
    <row r="41" spans="1:12" x14ac:dyDescent="0.25">
      <c r="A41" s="352">
        <v>45771</v>
      </c>
      <c r="B41" s="353"/>
      <c r="C41" s="322">
        <v>2349</v>
      </c>
      <c r="D41" s="324"/>
      <c r="E41" s="354" t="s">
        <v>114</v>
      </c>
      <c r="F41" s="355"/>
      <c r="G41" s="355"/>
      <c r="H41" s="355"/>
      <c r="I41" s="355"/>
      <c r="J41" s="355"/>
      <c r="K41" s="356"/>
      <c r="L41" s="55">
        <v>5629000</v>
      </c>
    </row>
    <row r="42" spans="1:12" x14ac:dyDescent="0.25">
      <c r="A42" s="352">
        <v>45773</v>
      </c>
      <c r="B42" s="353"/>
      <c r="C42" s="322">
        <v>2354</v>
      </c>
      <c r="D42" s="324"/>
      <c r="E42" s="354" t="s">
        <v>116</v>
      </c>
      <c r="F42" s="355"/>
      <c r="G42" s="355"/>
      <c r="H42" s="355"/>
      <c r="I42" s="355"/>
      <c r="J42" s="355"/>
      <c r="K42" s="356"/>
      <c r="L42" s="55">
        <v>8380600</v>
      </c>
    </row>
    <row r="43" spans="1:12" x14ac:dyDescent="0.25">
      <c r="A43" s="352">
        <v>45782</v>
      </c>
      <c r="B43" s="353"/>
      <c r="C43" s="322">
        <v>2382</v>
      </c>
      <c r="D43" s="324"/>
      <c r="E43" s="354" t="s">
        <v>118</v>
      </c>
      <c r="F43" s="355"/>
      <c r="G43" s="355"/>
      <c r="H43" s="355"/>
      <c r="I43" s="355"/>
      <c r="J43" s="355"/>
      <c r="K43" s="356"/>
      <c r="L43" s="55">
        <v>5616000</v>
      </c>
    </row>
    <row r="44" spans="1:12" x14ac:dyDescent="0.25">
      <c r="A44" s="352">
        <v>45787</v>
      </c>
      <c r="B44" s="353"/>
      <c r="C44" s="322">
        <v>2399</v>
      </c>
      <c r="D44" s="324"/>
      <c r="E44" s="354" t="s">
        <v>120</v>
      </c>
      <c r="F44" s="355"/>
      <c r="G44" s="355"/>
      <c r="H44" s="355"/>
      <c r="I44" s="355"/>
      <c r="J44" s="355"/>
      <c r="K44" s="356"/>
      <c r="L44" s="55">
        <v>7448000</v>
      </c>
    </row>
    <row r="45" spans="1:12" x14ac:dyDescent="0.25">
      <c r="A45" s="352"/>
      <c r="B45" s="353"/>
      <c r="C45" s="322"/>
      <c r="D45" s="324"/>
      <c r="E45" s="354"/>
      <c r="F45" s="355"/>
      <c r="G45" s="355"/>
      <c r="H45" s="355"/>
      <c r="I45" s="355"/>
      <c r="J45" s="355"/>
      <c r="K45" s="356"/>
      <c r="L45" s="55"/>
    </row>
    <row r="46" spans="1:12" x14ac:dyDescent="0.25">
      <c r="A46" s="334" t="s">
        <v>51</v>
      </c>
      <c r="B46" s="335"/>
      <c r="C46" s="335"/>
      <c r="D46" s="335"/>
      <c r="E46" s="335"/>
      <c r="F46" s="335"/>
      <c r="G46" s="335"/>
      <c r="H46" s="335"/>
      <c r="I46" s="335"/>
      <c r="J46" s="335"/>
      <c r="K46" s="336"/>
      <c r="L46" s="63">
        <f>SUM(L38:L45)</f>
        <v>46990600</v>
      </c>
    </row>
    <row r="47" spans="1:12" x14ac:dyDescent="0.25">
      <c r="A47" s="65"/>
      <c r="B47" s="66"/>
      <c r="C47" s="66"/>
      <c r="D47" s="66"/>
      <c r="E47" s="66"/>
      <c r="F47" s="66"/>
      <c r="G47" s="66"/>
      <c r="H47" s="31"/>
      <c r="I47" s="31"/>
      <c r="J47" s="31"/>
      <c r="K47" s="31"/>
      <c r="L47" s="31"/>
    </row>
    <row r="48" spans="1:12" x14ac:dyDescent="0.25">
      <c r="A48" s="48" t="s">
        <v>52</v>
      </c>
      <c r="B48" s="30"/>
      <c r="C48" s="30"/>
      <c r="D48" s="30"/>
      <c r="E48" s="30"/>
      <c r="F48" s="30"/>
      <c r="G48" s="30"/>
      <c r="H48" s="31"/>
      <c r="I48" s="31"/>
      <c r="J48" s="31"/>
      <c r="K48" s="31"/>
      <c r="L48" s="31"/>
    </row>
    <row r="49" spans="1:13" x14ac:dyDescent="0.25">
      <c r="A49" s="44"/>
      <c r="B49" s="45"/>
      <c r="C49" s="45"/>
      <c r="D49" s="45"/>
      <c r="E49" s="45"/>
      <c r="F49" s="45"/>
      <c r="G49" s="45"/>
      <c r="H49" s="31"/>
      <c r="I49" s="31"/>
      <c r="J49" s="46"/>
      <c r="K49" s="46"/>
      <c r="L49" s="31"/>
    </row>
    <row r="50" spans="1:13" x14ac:dyDescent="0.25">
      <c r="A50" s="337" t="s">
        <v>53</v>
      </c>
      <c r="B50" s="338"/>
      <c r="C50" s="337" t="s">
        <v>54</v>
      </c>
      <c r="D50" s="338"/>
      <c r="E50" s="93" t="s">
        <v>55</v>
      </c>
      <c r="F50" s="68" t="s">
        <v>37</v>
      </c>
      <c r="G50" s="339"/>
      <c r="H50" s="340"/>
      <c r="I50" s="340"/>
      <c r="J50" s="340"/>
      <c r="K50" s="341"/>
      <c r="L50" s="348" t="s">
        <v>56</v>
      </c>
    </row>
    <row r="51" spans="1:13" x14ac:dyDescent="0.25">
      <c r="A51" s="316"/>
      <c r="B51" s="317"/>
      <c r="C51" s="350" t="s">
        <v>57</v>
      </c>
      <c r="D51" s="351"/>
      <c r="E51" s="69"/>
      <c r="F51" s="44"/>
      <c r="G51" s="342"/>
      <c r="H51" s="343"/>
      <c r="I51" s="343"/>
      <c r="J51" s="343"/>
      <c r="K51" s="344"/>
      <c r="L51" s="349"/>
    </row>
    <row r="52" spans="1:13" x14ac:dyDescent="0.25">
      <c r="A52" s="310"/>
      <c r="B52" s="312"/>
      <c r="C52" s="310"/>
      <c r="D52" s="312"/>
      <c r="E52" s="70"/>
      <c r="F52" s="95"/>
      <c r="G52" s="342"/>
      <c r="H52" s="343"/>
      <c r="I52" s="343"/>
      <c r="J52" s="343"/>
      <c r="K52" s="344"/>
      <c r="L52" s="55"/>
    </row>
    <row r="53" spans="1:13" x14ac:dyDescent="0.25">
      <c r="A53" s="310"/>
      <c r="B53" s="312"/>
      <c r="C53" s="310"/>
      <c r="D53" s="312"/>
      <c r="E53" s="70"/>
      <c r="F53" s="64"/>
      <c r="G53" s="345"/>
      <c r="H53" s="346"/>
      <c r="I53" s="346"/>
      <c r="J53" s="346"/>
      <c r="K53" s="347"/>
      <c r="L53" s="72"/>
    </row>
    <row r="54" spans="1:13" x14ac:dyDescent="0.25">
      <c r="A54" s="322" t="s">
        <v>41</v>
      </c>
      <c r="B54" s="323"/>
      <c r="C54" s="323"/>
      <c r="D54" s="323"/>
      <c r="E54" s="323"/>
      <c r="F54" s="323"/>
      <c r="G54" s="323"/>
      <c r="H54" s="323"/>
      <c r="I54" s="323"/>
      <c r="J54" s="323"/>
      <c r="K54" s="324"/>
      <c r="L54" s="73">
        <f>SUM(L52:L53)</f>
        <v>0</v>
      </c>
    </row>
    <row r="55" spans="1:13" x14ac:dyDescent="0.25">
      <c r="A55" s="325"/>
      <c r="B55" s="326"/>
      <c r="C55" s="326"/>
      <c r="D55" s="326"/>
      <c r="E55" s="326"/>
      <c r="F55" s="326"/>
      <c r="G55" s="326"/>
      <c r="H55" s="326"/>
      <c r="I55" s="326"/>
      <c r="J55" s="326"/>
      <c r="K55" s="326"/>
      <c r="L55" s="326"/>
    </row>
    <row r="56" spans="1:13" x14ac:dyDescent="0.25">
      <c r="A56" s="327" t="s">
        <v>58</v>
      </c>
      <c r="B56" s="328"/>
      <c r="C56" s="328"/>
      <c r="D56" s="328"/>
      <c r="E56" s="328"/>
      <c r="F56" s="328"/>
      <c r="G56" s="328"/>
      <c r="H56" s="328"/>
      <c r="I56" s="328"/>
      <c r="J56" s="329"/>
      <c r="K56" s="330">
        <f>K9+L31-L46-L54</f>
        <v>0</v>
      </c>
      <c r="L56" s="330"/>
    </row>
    <row r="57" spans="1:13" x14ac:dyDescent="0.25">
      <c r="A57" s="331"/>
      <c r="B57" s="332"/>
      <c r="C57" s="332"/>
      <c r="D57" s="332"/>
      <c r="E57" s="332"/>
      <c r="F57" s="332"/>
      <c r="G57" s="332"/>
      <c r="H57" s="332"/>
      <c r="I57" s="332"/>
      <c r="J57" s="332"/>
      <c r="K57" s="332"/>
      <c r="L57" s="333"/>
    </row>
    <row r="58" spans="1:13" x14ac:dyDescent="0.25">
      <c r="A58" s="305" t="s">
        <v>59</v>
      </c>
      <c r="B58" s="305"/>
      <c r="C58" s="305"/>
      <c r="D58" s="305"/>
      <c r="E58" s="305"/>
      <c r="F58" s="305" t="s">
        <v>60</v>
      </c>
      <c r="G58" s="305"/>
      <c r="H58" s="305"/>
      <c r="I58" s="306"/>
      <c r="J58" s="309" t="s">
        <v>61</v>
      </c>
      <c r="K58" s="309"/>
      <c r="L58" s="309"/>
    </row>
    <row r="59" spans="1:13" x14ac:dyDescent="0.25">
      <c r="A59" s="310"/>
      <c r="B59" s="311"/>
      <c r="C59" s="311"/>
      <c r="D59" s="311"/>
      <c r="E59" s="312"/>
      <c r="F59" s="310"/>
      <c r="G59" s="311"/>
      <c r="H59" s="312"/>
      <c r="I59" s="307"/>
      <c r="J59" s="313"/>
      <c r="K59" s="314"/>
      <c r="L59" s="315"/>
      <c r="M59" s="74"/>
    </row>
    <row r="60" spans="1:13" x14ac:dyDescent="0.25">
      <c r="A60" s="316"/>
      <c r="B60" s="317"/>
      <c r="C60" s="317"/>
      <c r="D60" s="317"/>
      <c r="E60" s="318"/>
      <c r="F60" s="316"/>
      <c r="G60" s="317"/>
      <c r="H60" s="318"/>
      <c r="I60" s="308"/>
      <c r="J60" s="319"/>
      <c r="K60" s="320"/>
      <c r="L60" s="321"/>
    </row>
    <row r="61" spans="1:13" x14ac:dyDescent="0.25">
      <c r="A61" s="33"/>
      <c r="B61" s="33"/>
      <c r="C61" s="33"/>
      <c r="D61" s="33"/>
      <c r="E61" s="33"/>
      <c r="F61" s="33"/>
      <c r="G61" s="33"/>
      <c r="H61" s="75"/>
      <c r="I61" s="75"/>
      <c r="J61" s="75"/>
      <c r="K61" s="75"/>
      <c r="L61" s="75"/>
    </row>
  </sheetData>
  <mergeCells count="116">
    <mergeCell ref="F59:H59"/>
    <mergeCell ref="J59:L59"/>
    <mergeCell ref="A60:E60"/>
    <mergeCell ref="F60:H60"/>
    <mergeCell ref="J60:L60"/>
    <mergeCell ref="A54:K54"/>
    <mergeCell ref="A55:L55"/>
    <mergeCell ref="A56:J56"/>
    <mergeCell ref="K56:L56"/>
    <mergeCell ref="A57:L57"/>
    <mergeCell ref="A58:E58"/>
    <mergeCell ref="F58:H58"/>
    <mergeCell ref="I58:I60"/>
    <mergeCell ref="J58:L58"/>
    <mergeCell ref="A59:E59"/>
    <mergeCell ref="L50:L51"/>
    <mergeCell ref="A51:B51"/>
    <mergeCell ref="C51:D51"/>
    <mergeCell ref="A52:B52"/>
    <mergeCell ref="C52:D52"/>
    <mergeCell ref="A53:B53"/>
    <mergeCell ref="C53:D53"/>
    <mergeCell ref="A46:K46"/>
    <mergeCell ref="A50:B50"/>
    <mergeCell ref="C50:D50"/>
    <mergeCell ref="G50:K53"/>
    <mergeCell ref="A44:B44"/>
    <mergeCell ref="C44:D44"/>
    <mergeCell ref="E44:K44"/>
    <mergeCell ref="A45:B45"/>
    <mergeCell ref="C45:D45"/>
    <mergeCell ref="E45:K45"/>
    <mergeCell ref="A42:B42"/>
    <mergeCell ref="C42:D42"/>
    <mergeCell ref="E42:K42"/>
    <mergeCell ref="A43:B43"/>
    <mergeCell ref="C43:D43"/>
    <mergeCell ref="E43:K43"/>
    <mergeCell ref="A38:B38"/>
    <mergeCell ref="C38:D38"/>
    <mergeCell ref="E38:K38"/>
    <mergeCell ref="A39:B39"/>
    <mergeCell ref="C39:D39"/>
    <mergeCell ref="E39:K39"/>
    <mergeCell ref="A31:B31"/>
    <mergeCell ref="I31:K31"/>
    <mergeCell ref="A35:B37"/>
    <mergeCell ref="C35:D37"/>
    <mergeCell ref="E35:K37"/>
    <mergeCell ref="L35:L37"/>
    <mergeCell ref="A29:B29"/>
    <mergeCell ref="C29:D29"/>
    <mergeCell ref="E29:F29"/>
    <mergeCell ref="A30:B30"/>
    <mergeCell ref="C30:D30"/>
    <mergeCell ref="E30:F30"/>
    <mergeCell ref="A27:B27"/>
    <mergeCell ref="C27:D27"/>
    <mergeCell ref="E27:F27"/>
    <mergeCell ref="A28:B28"/>
    <mergeCell ref="C28:D28"/>
    <mergeCell ref="E28:F28"/>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1:L1"/>
    <mergeCell ref="A4:C4"/>
    <mergeCell ref="E4:F5"/>
    <mergeCell ref="A5:C5"/>
    <mergeCell ref="A9:J9"/>
    <mergeCell ref="K9:L9"/>
    <mergeCell ref="A17:B17"/>
    <mergeCell ref="C17:D17"/>
    <mergeCell ref="E17:F17"/>
    <mergeCell ref="A15:B15"/>
    <mergeCell ref="C15:D15"/>
    <mergeCell ref="E15:F15"/>
    <mergeCell ref="A16:B16"/>
    <mergeCell ref="C16:D16"/>
    <mergeCell ref="E16:F16"/>
    <mergeCell ref="A40:B40"/>
    <mergeCell ref="C40:D40"/>
    <mergeCell ref="A41:B41"/>
    <mergeCell ref="C41:D41"/>
    <mergeCell ref="E40:K40"/>
    <mergeCell ref="E41:K41"/>
    <mergeCell ref="A13:B14"/>
    <mergeCell ref="C13:D14"/>
    <mergeCell ref="E13:F14"/>
    <mergeCell ref="G13:G14"/>
    <mergeCell ref="H13:H14"/>
    <mergeCell ref="I13:I14"/>
    <mergeCell ref="A18:B18"/>
    <mergeCell ref="C18:D18"/>
    <mergeCell ref="E18:F18"/>
    <mergeCell ref="A21:B21"/>
    <mergeCell ref="C21:D21"/>
    <mergeCell ref="E21:F21"/>
    <mergeCell ref="A22:B22"/>
    <mergeCell ref="C22:D22"/>
    <mergeCell ref="E22:F22"/>
    <mergeCell ref="A19:B19"/>
    <mergeCell ref="C19:D19"/>
    <mergeCell ref="E19:F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27" workbookViewId="0">
      <selection activeCell="I47" sqref="I47"/>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01" t="s">
        <v>27</v>
      </c>
      <c r="B6" s="106" t="s">
        <v>28</v>
      </c>
      <c r="C6" s="106" t="s">
        <v>29</v>
      </c>
      <c r="D6" s="30"/>
      <c r="E6" s="30"/>
      <c r="F6" s="30"/>
      <c r="G6" s="30"/>
      <c r="H6" s="31"/>
      <c r="I6" s="31"/>
      <c r="J6" s="31"/>
      <c r="K6" s="31"/>
      <c r="L6" s="32"/>
    </row>
    <row r="7" spans="1:12" x14ac:dyDescent="0.25">
      <c r="A7" s="41" t="s">
        <v>67</v>
      </c>
      <c r="B7" s="42" t="s">
        <v>122</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04" t="s">
        <v>40</v>
      </c>
      <c r="K13" s="104" t="s">
        <v>40</v>
      </c>
      <c r="L13" s="104" t="s">
        <v>41</v>
      </c>
    </row>
    <row r="14" spans="1:12" x14ac:dyDescent="0.25">
      <c r="A14" s="396"/>
      <c r="B14" s="397"/>
      <c r="C14" s="396"/>
      <c r="D14" s="397"/>
      <c r="E14" s="361"/>
      <c r="F14" s="362"/>
      <c r="G14" s="399"/>
      <c r="H14" s="399"/>
      <c r="I14" s="399"/>
      <c r="J14" s="105" t="s">
        <v>42</v>
      </c>
      <c r="K14" s="105" t="s">
        <v>43</v>
      </c>
      <c r="L14" s="105" t="s">
        <v>44</v>
      </c>
    </row>
    <row r="15" spans="1:12" x14ac:dyDescent="0.25">
      <c r="A15" s="385">
        <v>1</v>
      </c>
      <c r="B15" s="384"/>
      <c r="C15" s="386" t="s">
        <v>80</v>
      </c>
      <c r="D15" s="386"/>
      <c r="E15" s="383" t="s">
        <v>86</v>
      </c>
      <c r="F15" s="383"/>
      <c r="G15" s="59" t="s">
        <v>26</v>
      </c>
      <c r="H15" s="55">
        <v>576877</v>
      </c>
      <c r="I15" s="56"/>
      <c r="J15" s="57"/>
      <c r="K15" s="57"/>
      <c r="L15" s="58">
        <f t="shared" ref="L15:L30" si="0">H15</f>
        <v>576877</v>
      </c>
    </row>
    <row r="16" spans="1:12" x14ac:dyDescent="0.25">
      <c r="A16" s="385">
        <v>1</v>
      </c>
      <c r="B16" s="384"/>
      <c r="C16" s="386" t="s">
        <v>77</v>
      </c>
      <c r="D16" s="386"/>
      <c r="E16" s="383" t="s">
        <v>132</v>
      </c>
      <c r="F16" s="383"/>
      <c r="G16" s="59" t="s">
        <v>26</v>
      </c>
      <c r="H16" s="55">
        <v>564700</v>
      </c>
      <c r="I16" s="56"/>
      <c r="J16" s="57"/>
      <c r="K16" s="57"/>
      <c r="L16" s="58">
        <f t="shared" si="0"/>
        <v>564700</v>
      </c>
    </row>
    <row r="17" spans="1:12" x14ac:dyDescent="0.25">
      <c r="A17" s="387" t="s">
        <v>77</v>
      </c>
      <c r="B17" s="386"/>
      <c r="C17" s="384">
        <v>1</v>
      </c>
      <c r="D17" s="384"/>
      <c r="E17" s="388" t="s">
        <v>133</v>
      </c>
      <c r="F17" s="389"/>
      <c r="G17" s="103" t="s">
        <v>26</v>
      </c>
      <c r="H17" s="60">
        <v>393500</v>
      </c>
      <c r="I17" s="56"/>
      <c r="J17" s="57"/>
      <c r="K17" s="57"/>
      <c r="L17" s="58">
        <f t="shared" si="0"/>
        <v>393500</v>
      </c>
    </row>
    <row r="18" spans="1:12" x14ac:dyDescent="0.25">
      <c r="A18" s="387" t="s">
        <v>77</v>
      </c>
      <c r="B18" s="386"/>
      <c r="C18" s="384">
        <v>2</v>
      </c>
      <c r="D18" s="384"/>
      <c r="E18" s="388" t="s">
        <v>106</v>
      </c>
      <c r="F18" s="389"/>
      <c r="G18" s="103" t="s">
        <v>26</v>
      </c>
      <c r="H18" s="55">
        <v>418100</v>
      </c>
      <c r="I18" s="56"/>
      <c r="J18" s="57"/>
      <c r="K18" s="57"/>
      <c r="L18" s="58">
        <f t="shared" si="0"/>
        <v>418100</v>
      </c>
    </row>
    <row r="19" spans="1:12" x14ac:dyDescent="0.25">
      <c r="A19" s="387" t="s">
        <v>77</v>
      </c>
      <c r="B19" s="386"/>
      <c r="C19" s="384">
        <v>2</v>
      </c>
      <c r="D19" s="384"/>
      <c r="E19" s="388" t="s">
        <v>104</v>
      </c>
      <c r="F19" s="389"/>
      <c r="G19" s="103" t="s">
        <v>26</v>
      </c>
      <c r="H19" s="55">
        <v>433600</v>
      </c>
      <c r="I19" s="56"/>
      <c r="J19" s="57"/>
      <c r="K19" s="57"/>
      <c r="L19" s="58">
        <f t="shared" si="0"/>
        <v>433600</v>
      </c>
    </row>
    <row r="20" spans="1:12" x14ac:dyDescent="0.25">
      <c r="A20" s="387" t="s">
        <v>77</v>
      </c>
      <c r="B20" s="386"/>
      <c r="C20" s="322">
        <v>2</v>
      </c>
      <c r="D20" s="324"/>
      <c r="E20" s="392" t="s">
        <v>103</v>
      </c>
      <c r="F20" s="393"/>
      <c r="G20" s="103" t="s">
        <v>26</v>
      </c>
      <c r="H20" s="55">
        <v>1661600</v>
      </c>
      <c r="I20" s="56"/>
      <c r="J20" s="57"/>
      <c r="K20" s="57"/>
      <c r="L20" s="58">
        <f t="shared" si="0"/>
        <v>1661600</v>
      </c>
    </row>
    <row r="21" spans="1:12" x14ac:dyDescent="0.25">
      <c r="A21" s="385">
        <v>1</v>
      </c>
      <c r="B21" s="384"/>
      <c r="C21" s="386" t="s">
        <v>77</v>
      </c>
      <c r="D21" s="386"/>
      <c r="E21" s="383" t="s">
        <v>134</v>
      </c>
      <c r="F21" s="383"/>
      <c r="G21" s="59" t="s">
        <v>26</v>
      </c>
      <c r="H21" s="55">
        <v>317700</v>
      </c>
      <c r="I21" s="56"/>
      <c r="J21" s="57"/>
      <c r="K21" s="57"/>
      <c r="L21" s="58">
        <f t="shared" si="0"/>
        <v>317700</v>
      </c>
    </row>
    <row r="22" spans="1:12" x14ac:dyDescent="0.25">
      <c r="A22" s="375">
        <v>1</v>
      </c>
      <c r="B22" s="376"/>
      <c r="C22" s="322">
        <v>1</v>
      </c>
      <c r="D22" s="324"/>
      <c r="E22" s="383" t="s">
        <v>135</v>
      </c>
      <c r="F22" s="383"/>
      <c r="G22" s="59" t="s">
        <v>26</v>
      </c>
      <c r="H22" s="55">
        <v>920600</v>
      </c>
      <c r="I22" s="56"/>
      <c r="J22" s="57"/>
      <c r="K22" s="57"/>
      <c r="L22" s="58">
        <f t="shared" si="0"/>
        <v>920600</v>
      </c>
    </row>
    <row r="23" spans="1:12" x14ac:dyDescent="0.25">
      <c r="A23" s="375">
        <v>1</v>
      </c>
      <c r="B23" s="376"/>
      <c r="C23" s="384">
        <v>4</v>
      </c>
      <c r="D23" s="384"/>
      <c r="E23" s="383" t="s">
        <v>72</v>
      </c>
      <c r="F23" s="383"/>
      <c r="G23" s="59" t="s">
        <v>26</v>
      </c>
      <c r="H23" s="55">
        <v>672300</v>
      </c>
      <c r="I23" s="56"/>
      <c r="J23" s="57"/>
      <c r="K23" s="57"/>
      <c r="L23" s="58">
        <f t="shared" si="0"/>
        <v>672300</v>
      </c>
    </row>
    <row r="24" spans="1:12" x14ac:dyDescent="0.25">
      <c r="A24" s="375">
        <v>1</v>
      </c>
      <c r="B24" s="376"/>
      <c r="C24" s="322">
        <v>4</v>
      </c>
      <c r="D24" s="324"/>
      <c r="E24" s="392" t="s">
        <v>71</v>
      </c>
      <c r="F24" s="393"/>
      <c r="G24" s="59" t="s">
        <v>26</v>
      </c>
      <c r="H24" s="55">
        <v>323400</v>
      </c>
      <c r="I24" s="56"/>
      <c r="J24" s="57"/>
      <c r="K24" s="57"/>
      <c r="L24" s="58">
        <f t="shared" si="0"/>
        <v>323400</v>
      </c>
    </row>
    <row r="25" spans="1:12" x14ac:dyDescent="0.25">
      <c r="A25" s="375">
        <v>1</v>
      </c>
      <c r="B25" s="376"/>
      <c r="C25" s="379" t="s">
        <v>77</v>
      </c>
      <c r="D25" s="380"/>
      <c r="E25" s="381" t="s">
        <v>136</v>
      </c>
      <c r="F25" s="382"/>
      <c r="G25" s="59" t="s">
        <v>26</v>
      </c>
      <c r="H25" s="55">
        <v>656200</v>
      </c>
      <c r="I25" s="56"/>
      <c r="J25" s="57"/>
      <c r="K25" s="57"/>
      <c r="L25" s="58">
        <f t="shared" si="0"/>
        <v>656200</v>
      </c>
    </row>
    <row r="26" spans="1:12" x14ac:dyDescent="0.25">
      <c r="A26" s="375">
        <v>1</v>
      </c>
      <c r="B26" s="376"/>
      <c r="C26" s="379" t="s">
        <v>77</v>
      </c>
      <c r="D26" s="380"/>
      <c r="E26" s="381" t="s">
        <v>137</v>
      </c>
      <c r="F26" s="382"/>
      <c r="G26" s="59" t="s">
        <v>26</v>
      </c>
      <c r="H26" s="55">
        <v>867300</v>
      </c>
      <c r="I26" s="56"/>
      <c r="J26" s="57"/>
      <c r="K26" s="57"/>
      <c r="L26" s="58">
        <f t="shared" si="0"/>
        <v>867300</v>
      </c>
    </row>
    <row r="27" spans="1:12" x14ac:dyDescent="0.25">
      <c r="A27" s="375">
        <v>1</v>
      </c>
      <c r="B27" s="376"/>
      <c r="C27" s="322">
        <v>2</v>
      </c>
      <c r="D27" s="324"/>
      <c r="E27" s="381" t="s">
        <v>105</v>
      </c>
      <c r="F27" s="382"/>
      <c r="G27" s="103" t="s">
        <v>26</v>
      </c>
      <c r="H27" s="60">
        <v>480300</v>
      </c>
      <c r="I27" s="56"/>
      <c r="J27" s="57"/>
      <c r="K27" s="57"/>
      <c r="L27" s="58">
        <f t="shared" si="0"/>
        <v>480300</v>
      </c>
    </row>
    <row r="28" spans="1:12" x14ac:dyDescent="0.25">
      <c r="A28" s="375">
        <v>1</v>
      </c>
      <c r="B28" s="376"/>
      <c r="C28" s="322">
        <v>1</v>
      </c>
      <c r="D28" s="324"/>
      <c r="E28" s="383" t="s">
        <v>138</v>
      </c>
      <c r="F28" s="383"/>
      <c r="G28" s="103" t="s">
        <v>26</v>
      </c>
      <c r="H28" s="60">
        <v>581200</v>
      </c>
      <c r="I28" s="56"/>
      <c r="J28" s="57"/>
      <c r="K28" s="57"/>
      <c r="L28" s="58">
        <f t="shared" si="0"/>
        <v>581200</v>
      </c>
    </row>
    <row r="29" spans="1:12" x14ac:dyDescent="0.25">
      <c r="A29" s="375">
        <v>2</v>
      </c>
      <c r="B29" s="376"/>
      <c r="C29" s="379" t="s">
        <v>139</v>
      </c>
      <c r="D29" s="380"/>
      <c r="E29" s="377" t="s">
        <v>129</v>
      </c>
      <c r="F29" s="378"/>
      <c r="G29" s="103" t="s">
        <v>26</v>
      </c>
      <c r="H29" s="60">
        <v>836200</v>
      </c>
      <c r="I29" s="56"/>
      <c r="J29" s="57"/>
      <c r="K29" s="57"/>
      <c r="L29" s="58">
        <f t="shared" si="0"/>
        <v>836200</v>
      </c>
    </row>
    <row r="30" spans="1:12" x14ac:dyDescent="0.25">
      <c r="A30" s="390">
        <v>45803</v>
      </c>
      <c r="B30" s="391"/>
      <c r="C30" s="322">
        <v>1</v>
      </c>
      <c r="D30" s="324"/>
      <c r="E30" s="392" t="s">
        <v>64</v>
      </c>
      <c r="F30" s="393"/>
      <c r="G30" s="103"/>
      <c r="H30" s="60">
        <v>4810223</v>
      </c>
      <c r="I30" s="56"/>
      <c r="J30" s="57"/>
      <c r="K30" s="57"/>
      <c r="L30" s="58">
        <f t="shared" si="0"/>
        <v>4810223</v>
      </c>
    </row>
    <row r="31" spans="1:12" x14ac:dyDescent="0.25">
      <c r="A31" s="322"/>
      <c r="B31" s="324"/>
      <c r="C31" s="61" t="s">
        <v>45</v>
      </c>
      <c r="D31" s="62"/>
      <c r="E31" s="62"/>
      <c r="F31" s="62"/>
      <c r="G31" s="62"/>
      <c r="H31" s="63">
        <f>SUM(H15:H30)</f>
        <v>14513800</v>
      </c>
      <c r="I31" s="334"/>
      <c r="J31" s="335"/>
      <c r="K31" s="336"/>
      <c r="L31" s="63">
        <f>SUM(L15:L30)</f>
        <v>14513800</v>
      </c>
    </row>
    <row r="32" spans="1:12" x14ac:dyDescent="0.25">
      <c r="A32" s="64"/>
      <c r="B32" s="38"/>
      <c r="C32" s="29"/>
      <c r="D32" s="30"/>
      <c r="E32" s="30"/>
      <c r="F32" s="30"/>
      <c r="G32" s="30"/>
      <c r="H32" s="31"/>
      <c r="I32" s="31"/>
      <c r="J32" s="31"/>
      <c r="K32" s="31"/>
      <c r="L32" s="32"/>
    </row>
    <row r="33" spans="1:12" x14ac:dyDescent="0.25">
      <c r="A33" s="48" t="s">
        <v>46</v>
      </c>
      <c r="B33" s="38"/>
      <c r="C33" s="29"/>
      <c r="D33" s="30"/>
      <c r="E33" s="30"/>
      <c r="F33" s="30"/>
      <c r="G33" s="30"/>
      <c r="H33" s="31"/>
      <c r="I33" s="31"/>
      <c r="J33" s="31"/>
      <c r="K33" s="31"/>
      <c r="L33" s="32"/>
    </row>
    <row r="34" spans="1:12" x14ac:dyDescent="0.25">
      <c r="A34" s="48"/>
      <c r="B34" s="30"/>
      <c r="C34" s="30"/>
      <c r="D34" s="30"/>
      <c r="E34" s="30"/>
      <c r="F34" s="30"/>
      <c r="G34" s="30"/>
      <c r="H34" s="31"/>
      <c r="I34" s="31"/>
      <c r="J34" s="31"/>
      <c r="K34" s="31"/>
      <c r="L34" s="32"/>
    </row>
    <row r="35" spans="1:12" x14ac:dyDescent="0.25">
      <c r="A35" s="357" t="s">
        <v>47</v>
      </c>
      <c r="B35" s="358"/>
      <c r="C35" s="363" t="s">
        <v>48</v>
      </c>
      <c r="D35" s="364"/>
      <c r="E35" s="357" t="s">
        <v>49</v>
      </c>
      <c r="F35" s="369"/>
      <c r="G35" s="369"/>
      <c r="H35" s="369"/>
      <c r="I35" s="369"/>
      <c r="J35" s="369"/>
      <c r="K35" s="358"/>
      <c r="L35" s="372" t="s">
        <v>50</v>
      </c>
    </row>
    <row r="36" spans="1:12" x14ac:dyDescent="0.25">
      <c r="A36" s="359"/>
      <c r="B36" s="360"/>
      <c r="C36" s="365"/>
      <c r="D36" s="366"/>
      <c r="E36" s="359"/>
      <c r="F36" s="370"/>
      <c r="G36" s="370"/>
      <c r="H36" s="370"/>
      <c r="I36" s="370"/>
      <c r="J36" s="370"/>
      <c r="K36" s="360"/>
      <c r="L36" s="373"/>
    </row>
    <row r="37" spans="1:12" x14ac:dyDescent="0.25">
      <c r="A37" s="361"/>
      <c r="B37" s="362"/>
      <c r="C37" s="367"/>
      <c r="D37" s="368"/>
      <c r="E37" s="361"/>
      <c r="F37" s="371"/>
      <c r="G37" s="371"/>
      <c r="H37" s="371"/>
      <c r="I37" s="371"/>
      <c r="J37" s="371"/>
      <c r="K37" s="362"/>
      <c r="L37" s="374"/>
    </row>
    <row r="38" spans="1:12" x14ac:dyDescent="0.25">
      <c r="A38" s="352">
        <v>45790</v>
      </c>
      <c r="B38" s="353"/>
      <c r="C38" s="322" t="s">
        <v>100</v>
      </c>
      <c r="D38" s="324"/>
      <c r="E38" s="354" t="s">
        <v>124</v>
      </c>
      <c r="F38" s="355"/>
      <c r="G38" s="355"/>
      <c r="H38" s="355"/>
      <c r="I38" s="355"/>
      <c r="J38" s="355"/>
      <c r="K38" s="356"/>
      <c r="L38" s="55">
        <v>100000</v>
      </c>
    </row>
    <row r="39" spans="1:12" x14ac:dyDescent="0.25">
      <c r="A39" s="352">
        <v>45794</v>
      </c>
      <c r="B39" s="353"/>
      <c r="C39" s="322">
        <v>98499</v>
      </c>
      <c r="D39" s="324"/>
      <c r="E39" s="354" t="s">
        <v>123</v>
      </c>
      <c r="F39" s="355"/>
      <c r="G39" s="355"/>
      <c r="H39" s="355"/>
      <c r="I39" s="355"/>
      <c r="J39" s="355"/>
      <c r="K39" s="356"/>
      <c r="L39" s="55">
        <v>3800</v>
      </c>
    </row>
    <row r="40" spans="1:12" x14ac:dyDescent="0.25">
      <c r="A40" s="352">
        <v>45791</v>
      </c>
      <c r="B40" s="353"/>
      <c r="C40" s="322">
        <v>2405</v>
      </c>
      <c r="D40" s="324"/>
      <c r="E40" s="354" t="s">
        <v>126</v>
      </c>
      <c r="F40" s="355"/>
      <c r="G40" s="355"/>
      <c r="H40" s="355"/>
      <c r="I40" s="355"/>
      <c r="J40" s="355"/>
      <c r="K40" s="356"/>
      <c r="L40" s="55">
        <v>5514000</v>
      </c>
    </row>
    <row r="41" spans="1:12" x14ac:dyDescent="0.25">
      <c r="A41" s="352">
        <v>45794</v>
      </c>
      <c r="B41" s="353"/>
      <c r="C41" s="322">
        <v>2417</v>
      </c>
      <c r="D41" s="324"/>
      <c r="E41" s="354" t="s">
        <v>127</v>
      </c>
      <c r="F41" s="355"/>
      <c r="G41" s="355"/>
      <c r="H41" s="355"/>
      <c r="I41" s="355"/>
      <c r="J41" s="355"/>
      <c r="K41" s="356"/>
      <c r="L41" s="55">
        <v>4448000</v>
      </c>
    </row>
    <row r="42" spans="1:12" x14ac:dyDescent="0.25">
      <c r="A42" s="352">
        <v>45798</v>
      </c>
      <c r="B42" s="353"/>
      <c r="C42" s="322">
        <v>2425</v>
      </c>
      <c r="D42" s="324"/>
      <c r="E42" s="354" t="s">
        <v>128</v>
      </c>
      <c r="F42" s="355"/>
      <c r="G42" s="355"/>
      <c r="H42" s="355"/>
      <c r="I42" s="355"/>
      <c r="J42" s="355"/>
      <c r="K42" s="356"/>
      <c r="L42" s="55">
        <v>4448000</v>
      </c>
    </row>
    <row r="43" spans="1:12" x14ac:dyDescent="0.25">
      <c r="A43" s="352"/>
      <c r="B43" s="353"/>
      <c r="C43" s="322"/>
      <c r="D43" s="324"/>
      <c r="E43" s="354"/>
      <c r="F43" s="355"/>
      <c r="G43" s="355"/>
      <c r="H43" s="355"/>
      <c r="I43" s="355"/>
      <c r="J43" s="355"/>
      <c r="K43" s="356"/>
      <c r="L43" s="55"/>
    </row>
    <row r="44" spans="1:12" x14ac:dyDescent="0.25">
      <c r="A44" s="352"/>
      <c r="B44" s="353"/>
      <c r="C44" s="322"/>
      <c r="D44" s="324"/>
      <c r="E44" s="354"/>
      <c r="F44" s="355"/>
      <c r="G44" s="355"/>
      <c r="H44" s="355"/>
      <c r="I44" s="355"/>
      <c r="J44" s="355"/>
      <c r="K44" s="356"/>
      <c r="L44" s="55"/>
    </row>
    <row r="45" spans="1:12" x14ac:dyDescent="0.25">
      <c r="A45" s="352"/>
      <c r="B45" s="353"/>
      <c r="C45" s="322"/>
      <c r="D45" s="324"/>
      <c r="E45" s="354"/>
      <c r="F45" s="355"/>
      <c r="G45" s="355"/>
      <c r="H45" s="355"/>
      <c r="I45" s="355"/>
      <c r="J45" s="355"/>
      <c r="K45" s="356"/>
      <c r="L45" s="55"/>
    </row>
    <row r="46" spans="1:12" x14ac:dyDescent="0.25">
      <c r="A46" s="334" t="s">
        <v>51</v>
      </c>
      <c r="B46" s="335"/>
      <c r="C46" s="335"/>
      <c r="D46" s="335"/>
      <c r="E46" s="335"/>
      <c r="F46" s="335"/>
      <c r="G46" s="335"/>
      <c r="H46" s="335"/>
      <c r="I46" s="335"/>
      <c r="J46" s="335"/>
      <c r="K46" s="336"/>
      <c r="L46" s="63">
        <f>SUM(L38:L45)</f>
        <v>14513800</v>
      </c>
    </row>
    <row r="47" spans="1:12" x14ac:dyDescent="0.25">
      <c r="A47" s="65"/>
      <c r="B47" s="66"/>
      <c r="C47" s="66"/>
      <c r="D47" s="66"/>
      <c r="E47" s="66"/>
      <c r="F47" s="66"/>
      <c r="G47" s="66"/>
      <c r="H47" s="31"/>
      <c r="I47" s="31"/>
      <c r="J47" s="31"/>
      <c r="K47" s="31"/>
      <c r="L47" s="31"/>
    </row>
    <row r="48" spans="1:12" x14ac:dyDescent="0.25">
      <c r="A48" s="48" t="s">
        <v>52</v>
      </c>
      <c r="B48" s="30"/>
      <c r="C48" s="30"/>
      <c r="D48" s="30"/>
      <c r="E48" s="30"/>
      <c r="F48" s="30"/>
      <c r="G48" s="30"/>
      <c r="H48" s="31"/>
      <c r="I48" s="31"/>
      <c r="J48" s="31"/>
      <c r="K48" s="31"/>
      <c r="L48" s="31"/>
    </row>
    <row r="49" spans="1:13" x14ac:dyDescent="0.25">
      <c r="A49" s="44"/>
      <c r="B49" s="45"/>
      <c r="C49" s="45"/>
      <c r="D49" s="45"/>
      <c r="E49" s="45"/>
      <c r="F49" s="45"/>
      <c r="G49" s="45"/>
      <c r="H49" s="31"/>
      <c r="I49" s="31"/>
      <c r="J49" s="46"/>
      <c r="K49" s="46"/>
      <c r="L49" s="31"/>
    </row>
    <row r="50" spans="1:13" x14ac:dyDescent="0.25">
      <c r="A50" s="337" t="s">
        <v>53</v>
      </c>
      <c r="B50" s="338"/>
      <c r="C50" s="337" t="s">
        <v>54</v>
      </c>
      <c r="D50" s="338"/>
      <c r="E50" s="100" t="s">
        <v>55</v>
      </c>
      <c r="F50" s="68" t="s">
        <v>37</v>
      </c>
      <c r="G50" s="339"/>
      <c r="H50" s="340"/>
      <c r="I50" s="340"/>
      <c r="J50" s="340"/>
      <c r="K50" s="341"/>
      <c r="L50" s="348" t="s">
        <v>56</v>
      </c>
    </row>
    <row r="51" spans="1:13" x14ac:dyDescent="0.25">
      <c r="A51" s="316"/>
      <c r="B51" s="317"/>
      <c r="C51" s="350" t="s">
        <v>57</v>
      </c>
      <c r="D51" s="351"/>
      <c r="E51" s="69"/>
      <c r="F51" s="44"/>
      <c r="G51" s="342"/>
      <c r="H51" s="343"/>
      <c r="I51" s="343"/>
      <c r="J51" s="343"/>
      <c r="K51" s="344"/>
      <c r="L51" s="349"/>
    </row>
    <row r="52" spans="1:13" x14ac:dyDescent="0.25">
      <c r="A52" s="310"/>
      <c r="B52" s="312"/>
      <c r="C52" s="310"/>
      <c r="D52" s="312"/>
      <c r="E52" s="70"/>
      <c r="F52" s="102"/>
      <c r="G52" s="342"/>
      <c r="H52" s="343"/>
      <c r="I52" s="343"/>
      <c r="J52" s="343"/>
      <c r="K52" s="344"/>
      <c r="L52" s="55"/>
    </row>
    <row r="53" spans="1:13" x14ac:dyDescent="0.25">
      <c r="A53" s="310"/>
      <c r="B53" s="312"/>
      <c r="C53" s="310"/>
      <c r="D53" s="312"/>
      <c r="E53" s="70"/>
      <c r="F53" s="64"/>
      <c r="G53" s="345"/>
      <c r="H53" s="346"/>
      <c r="I53" s="346"/>
      <c r="J53" s="346"/>
      <c r="K53" s="347"/>
      <c r="L53" s="72"/>
    </row>
    <row r="54" spans="1:13" x14ac:dyDescent="0.25">
      <c r="A54" s="322" t="s">
        <v>41</v>
      </c>
      <c r="B54" s="323"/>
      <c r="C54" s="323"/>
      <c r="D54" s="323"/>
      <c r="E54" s="323"/>
      <c r="F54" s="323"/>
      <c r="G54" s="323"/>
      <c r="H54" s="323"/>
      <c r="I54" s="323"/>
      <c r="J54" s="323"/>
      <c r="K54" s="324"/>
      <c r="L54" s="73">
        <f>SUM(L52:L53)</f>
        <v>0</v>
      </c>
    </row>
    <row r="55" spans="1:13" x14ac:dyDescent="0.25">
      <c r="A55" s="325"/>
      <c r="B55" s="326"/>
      <c r="C55" s="326"/>
      <c r="D55" s="326"/>
      <c r="E55" s="326"/>
      <c r="F55" s="326"/>
      <c r="G55" s="326"/>
      <c r="H55" s="326"/>
      <c r="I55" s="326"/>
      <c r="J55" s="326"/>
      <c r="K55" s="326"/>
      <c r="L55" s="326"/>
    </row>
    <row r="56" spans="1:13" x14ac:dyDescent="0.25">
      <c r="A56" s="327" t="s">
        <v>58</v>
      </c>
      <c r="B56" s="328"/>
      <c r="C56" s="328"/>
      <c r="D56" s="328"/>
      <c r="E56" s="328"/>
      <c r="F56" s="328"/>
      <c r="G56" s="328"/>
      <c r="H56" s="328"/>
      <c r="I56" s="328"/>
      <c r="J56" s="329"/>
      <c r="K56" s="330">
        <f>K9+L31-L46-L54</f>
        <v>0</v>
      </c>
      <c r="L56" s="330"/>
    </row>
    <row r="57" spans="1:13" x14ac:dyDescent="0.25">
      <c r="A57" s="331"/>
      <c r="B57" s="332"/>
      <c r="C57" s="332"/>
      <c r="D57" s="332"/>
      <c r="E57" s="332"/>
      <c r="F57" s="332"/>
      <c r="G57" s="332"/>
      <c r="H57" s="332"/>
      <c r="I57" s="332"/>
      <c r="J57" s="332"/>
      <c r="K57" s="332"/>
      <c r="L57" s="333"/>
    </row>
    <row r="58" spans="1:13" x14ac:dyDescent="0.25">
      <c r="A58" s="305" t="s">
        <v>59</v>
      </c>
      <c r="B58" s="305"/>
      <c r="C58" s="305"/>
      <c r="D58" s="305"/>
      <c r="E58" s="305"/>
      <c r="F58" s="305" t="s">
        <v>60</v>
      </c>
      <c r="G58" s="305"/>
      <c r="H58" s="305"/>
      <c r="I58" s="306"/>
      <c r="J58" s="309" t="s">
        <v>61</v>
      </c>
      <c r="K58" s="309"/>
      <c r="L58" s="309"/>
    </row>
    <row r="59" spans="1:13" x14ac:dyDescent="0.25">
      <c r="A59" s="310"/>
      <c r="B59" s="311"/>
      <c r="C59" s="311"/>
      <c r="D59" s="311"/>
      <c r="E59" s="312"/>
      <c r="F59" s="310"/>
      <c r="G59" s="311"/>
      <c r="H59" s="312"/>
      <c r="I59" s="307"/>
      <c r="J59" s="313"/>
      <c r="K59" s="314"/>
      <c r="L59" s="315"/>
      <c r="M59" s="74"/>
    </row>
    <row r="60" spans="1:13" x14ac:dyDescent="0.25">
      <c r="A60" s="316"/>
      <c r="B60" s="317"/>
      <c r="C60" s="317"/>
      <c r="D60" s="317"/>
      <c r="E60" s="318"/>
      <c r="F60" s="316"/>
      <c r="G60" s="317"/>
      <c r="H60" s="318"/>
      <c r="I60" s="308"/>
      <c r="J60" s="319"/>
      <c r="K60" s="320"/>
      <c r="L60" s="321"/>
    </row>
    <row r="61" spans="1:13" x14ac:dyDescent="0.25">
      <c r="A61" s="33"/>
      <c r="B61" s="33"/>
      <c r="C61" s="33"/>
      <c r="D61" s="33"/>
      <c r="E61" s="33"/>
      <c r="F61" s="33"/>
      <c r="G61" s="33"/>
      <c r="H61" s="75"/>
      <c r="I61" s="75"/>
      <c r="J61" s="75"/>
      <c r="K61" s="75"/>
      <c r="L61" s="75"/>
    </row>
  </sheetData>
  <mergeCells count="116">
    <mergeCell ref="A58:E58"/>
    <mergeCell ref="F58:H58"/>
    <mergeCell ref="I58:I60"/>
    <mergeCell ref="J58:L58"/>
    <mergeCell ref="A59:E59"/>
    <mergeCell ref="F59:H59"/>
    <mergeCell ref="J59:L59"/>
    <mergeCell ref="A60:E60"/>
    <mergeCell ref="F60:H60"/>
    <mergeCell ref="J60:L60"/>
    <mergeCell ref="C53:D53"/>
    <mergeCell ref="A54:K54"/>
    <mergeCell ref="A55:L55"/>
    <mergeCell ref="A56:J56"/>
    <mergeCell ref="K56:L56"/>
    <mergeCell ref="A57:L57"/>
    <mergeCell ref="A46:K46"/>
    <mergeCell ref="A50:B50"/>
    <mergeCell ref="C50:D50"/>
    <mergeCell ref="G50:K53"/>
    <mergeCell ref="L50:L51"/>
    <mergeCell ref="A51:B51"/>
    <mergeCell ref="C51:D51"/>
    <mergeCell ref="A52:B52"/>
    <mergeCell ref="C52:D52"/>
    <mergeCell ref="A53:B53"/>
    <mergeCell ref="A44:B44"/>
    <mergeCell ref="C44:D44"/>
    <mergeCell ref="E44:K44"/>
    <mergeCell ref="A45:B45"/>
    <mergeCell ref="C45:D45"/>
    <mergeCell ref="E45:K45"/>
    <mergeCell ref="A42:B42"/>
    <mergeCell ref="C42:D42"/>
    <mergeCell ref="E42:K42"/>
    <mergeCell ref="A43:B43"/>
    <mergeCell ref="C43:D43"/>
    <mergeCell ref="E43:K43"/>
    <mergeCell ref="A40:B40"/>
    <mergeCell ref="C40:D40"/>
    <mergeCell ref="E40:K40"/>
    <mergeCell ref="A41:B41"/>
    <mergeCell ref="C41:D41"/>
    <mergeCell ref="E41:K41"/>
    <mergeCell ref="A38:B38"/>
    <mergeCell ref="C38:D38"/>
    <mergeCell ref="E38:K38"/>
    <mergeCell ref="A39:B39"/>
    <mergeCell ref="C39:D39"/>
    <mergeCell ref="E39:K39"/>
    <mergeCell ref="A31:B31"/>
    <mergeCell ref="I31:K31"/>
    <mergeCell ref="A35:B37"/>
    <mergeCell ref="C35:D37"/>
    <mergeCell ref="E35:K37"/>
    <mergeCell ref="L35:L37"/>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topLeftCell="A29" workbookViewId="0">
      <selection activeCell="E49" sqref="E49:K49"/>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09" t="s">
        <v>27</v>
      </c>
      <c r="B6" s="114" t="s">
        <v>28</v>
      </c>
      <c r="C6" s="114" t="s">
        <v>29</v>
      </c>
      <c r="D6" s="30"/>
      <c r="E6" s="30"/>
      <c r="F6" s="30"/>
      <c r="G6" s="30"/>
      <c r="H6" s="31"/>
      <c r="I6" s="31"/>
      <c r="J6" s="31"/>
      <c r="K6" s="31"/>
      <c r="L6" s="32"/>
    </row>
    <row r="7" spans="1:12" x14ac:dyDescent="0.25">
      <c r="A7" s="41" t="s">
        <v>140</v>
      </c>
      <c r="B7" s="42" t="s">
        <v>141</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12" t="s">
        <v>40</v>
      </c>
      <c r="K13" s="112" t="s">
        <v>40</v>
      </c>
      <c r="L13" s="112" t="s">
        <v>41</v>
      </c>
    </row>
    <row r="14" spans="1:12" x14ac:dyDescent="0.25">
      <c r="A14" s="396"/>
      <c r="B14" s="397"/>
      <c r="C14" s="396"/>
      <c r="D14" s="397"/>
      <c r="E14" s="361"/>
      <c r="F14" s="362"/>
      <c r="G14" s="399"/>
      <c r="H14" s="399"/>
      <c r="I14" s="399"/>
      <c r="J14" s="113" t="s">
        <v>42</v>
      </c>
      <c r="K14" s="113" t="s">
        <v>43</v>
      </c>
      <c r="L14" s="113" t="s">
        <v>44</v>
      </c>
    </row>
    <row r="15" spans="1:12" x14ac:dyDescent="0.25">
      <c r="A15" s="385">
        <v>1</v>
      </c>
      <c r="B15" s="384"/>
      <c r="C15" s="386" t="s">
        <v>142</v>
      </c>
      <c r="D15" s="386"/>
      <c r="E15" s="383" t="s">
        <v>86</v>
      </c>
      <c r="F15" s="383"/>
      <c r="G15" s="59" t="s">
        <v>26</v>
      </c>
      <c r="H15" s="55">
        <v>570600</v>
      </c>
      <c r="I15" s="56"/>
      <c r="J15" s="57"/>
      <c r="K15" s="57"/>
      <c r="L15" s="58">
        <f t="shared" ref="L15:L32" si="0">H15</f>
        <v>570600</v>
      </c>
    </row>
    <row r="16" spans="1:12" x14ac:dyDescent="0.25">
      <c r="A16" s="385">
        <v>1</v>
      </c>
      <c r="B16" s="384"/>
      <c r="C16" s="386" t="s">
        <v>80</v>
      </c>
      <c r="D16" s="386"/>
      <c r="E16" s="383" t="s">
        <v>107</v>
      </c>
      <c r="F16" s="383"/>
      <c r="G16" s="59" t="s">
        <v>26</v>
      </c>
      <c r="H16" s="55">
        <v>638719</v>
      </c>
      <c r="I16" s="56"/>
      <c r="J16" s="57"/>
      <c r="K16" s="57"/>
      <c r="L16" s="58">
        <f t="shared" si="0"/>
        <v>638719</v>
      </c>
    </row>
    <row r="17" spans="1:12" x14ac:dyDescent="0.25">
      <c r="A17" s="387" t="s">
        <v>77</v>
      </c>
      <c r="B17" s="386"/>
      <c r="C17" s="384">
        <v>3</v>
      </c>
      <c r="D17" s="384"/>
      <c r="E17" s="388" t="s">
        <v>83</v>
      </c>
      <c r="F17" s="389"/>
      <c r="G17" s="111" t="s">
        <v>26</v>
      </c>
      <c r="H17" s="60">
        <v>636400</v>
      </c>
      <c r="I17" s="56"/>
      <c r="J17" s="57"/>
      <c r="K17" s="57"/>
      <c r="L17" s="58">
        <f t="shared" si="0"/>
        <v>636400</v>
      </c>
    </row>
    <row r="18" spans="1:12" x14ac:dyDescent="0.25">
      <c r="A18" s="387" t="s">
        <v>77</v>
      </c>
      <c r="B18" s="386"/>
      <c r="C18" s="384">
        <v>3</v>
      </c>
      <c r="D18" s="384"/>
      <c r="E18" s="388" t="s">
        <v>89</v>
      </c>
      <c r="F18" s="389"/>
      <c r="G18" s="111" t="s">
        <v>26</v>
      </c>
      <c r="H18" s="55">
        <v>1060500</v>
      </c>
      <c r="I18" s="56"/>
      <c r="J18" s="57"/>
      <c r="K18" s="57"/>
      <c r="L18" s="58">
        <f t="shared" si="0"/>
        <v>1060500</v>
      </c>
    </row>
    <row r="19" spans="1:12" x14ac:dyDescent="0.25">
      <c r="A19" s="387" t="s">
        <v>77</v>
      </c>
      <c r="B19" s="386"/>
      <c r="C19" s="384">
        <v>2</v>
      </c>
      <c r="D19" s="384"/>
      <c r="E19" s="388" t="s">
        <v>136</v>
      </c>
      <c r="F19" s="389"/>
      <c r="G19" s="111" t="s">
        <v>26</v>
      </c>
      <c r="H19" s="55">
        <v>656200</v>
      </c>
      <c r="I19" s="56"/>
      <c r="J19" s="57"/>
      <c r="K19" s="57"/>
      <c r="L19" s="58">
        <f t="shared" si="0"/>
        <v>656200</v>
      </c>
    </row>
    <row r="20" spans="1:12" x14ac:dyDescent="0.25">
      <c r="A20" s="387" t="s">
        <v>77</v>
      </c>
      <c r="B20" s="386"/>
      <c r="C20" s="322">
        <v>3</v>
      </c>
      <c r="D20" s="324"/>
      <c r="E20" s="392" t="s">
        <v>103</v>
      </c>
      <c r="F20" s="393"/>
      <c r="G20" s="111" t="s">
        <v>26</v>
      </c>
      <c r="H20" s="55">
        <v>1661600</v>
      </c>
      <c r="I20" s="56"/>
      <c r="J20" s="57"/>
      <c r="K20" s="57"/>
      <c r="L20" s="58">
        <f t="shared" si="0"/>
        <v>1661600</v>
      </c>
    </row>
    <row r="21" spans="1:12" x14ac:dyDescent="0.25">
      <c r="A21" s="385">
        <v>2</v>
      </c>
      <c r="B21" s="384"/>
      <c r="C21" s="386" t="s">
        <v>139</v>
      </c>
      <c r="D21" s="386"/>
      <c r="E21" s="383" t="s">
        <v>144</v>
      </c>
      <c r="F21" s="383"/>
      <c r="G21" s="59" t="s">
        <v>26</v>
      </c>
      <c r="H21" s="55">
        <v>1669400</v>
      </c>
      <c r="I21" s="56"/>
      <c r="J21" s="57"/>
      <c r="K21" s="57"/>
      <c r="L21" s="58">
        <f t="shared" si="0"/>
        <v>1669400</v>
      </c>
    </row>
    <row r="22" spans="1:12" x14ac:dyDescent="0.25">
      <c r="A22" s="375">
        <v>1</v>
      </c>
      <c r="B22" s="376"/>
      <c r="C22" s="322">
        <v>2</v>
      </c>
      <c r="D22" s="324"/>
      <c r="E22" s="383" t="s">
        <v>134</v>
      </c>
      <c r="F22" s="383"/>
      <c r="G22" s="59" t="s">
        <v>26</v>
      </c>
      <c r="H22" s="55">
        <v>317700</v>
      </c>
      <c r="I22" s="56"/>
      <c r="J22" s="57"/>
      <c r="K22" s="57"/>
      <c r="L22" s="58">
        <f t="shared" si="0"/>
        <v>317700</v>
      </c>
    </row>
    <row r="23" spans="1:12" x14ac:dyDescent="0.25">
      <c r="A23" s="375">
        <v>1</v>
      </c>
      <c r="B23" s="376"/>
      <c r="C23" s="384">
        <v>2</v>
      </c>
      <c r="D23" s="384"/>
      <c r="E23" s="383" t="s">
        <v>133</v>
      </c>
      <c r="F23" s="383"/>
      <c r="G23" s="59" t="s">
        <v>26</v>
      </c>
      <c r="H23" s="55">
        <v>393500</v>
      </c>
      <c r="I23" s="56"/>
      <c r="J23" s="57"/>
      <c r="K23" s="57"/>
      <c r="L23" s="58">
        <f t="shared" si="0"/>
        <v>393500</v>
      </c>
    </row>
    <row r="24" spans="1:12" x14ac:dyDescent="0.25">
      <c r="A24" s="375">
        <v>1</v>
      </c>
      <c r="B24" s="376"/>
      <c r="C24" s="322">
        <v>4</v>
      </c>
      <c r="D24" s="324"/>
      <c r="E24" s="392" t="s">
        <v>83</v>
      </c>
      <c r="F24" s="393"/>
      <c r="G24" s="59" t="s">
        <v>26</v>
      </c>
      <c r="H24" s="55">
        <v>636400</v>
      </c>
      <c r="I24" s="56"/>
      <c r="J24" s="57"/>
      <c r="K24" s="57"/>
      <c r="L24" s="58">
        <f t="shared" si="0"/>
        <v>636400</v>
      </c>
    </row>
    <row r="25" spans="1:12" x14ac:dyDescent="0.25">
      <c r="A25" s="375">
        <v>1</v>
      </c>
      <c r="B25" s="376"/>
      <c r="C25" s="379" t="s">
        <v>80</v>
      </c>
      <c r="D25" s="380"/>
      <c r="E25" s="381" t="s">
        <v>135</v>
      </c>
      <c r="F25" s="382"/>
      <c r="G25" s="59" t="s">
        <v>26</v>
      </c>
      <c r="H25" s="55">
        <v>920600</v>
      </c>
      <c r="I25" s="56"/>
      <c r="J25" s="57"/>
      <c r="K25" s="57"/>
      <c r="L25" s="58">
        <f t="shared" si="0"/>
        <v>920600</v>
      </c>
    </row>
    <row r="26" spans="1:12" x14ac:dyDescent="0.25">
      <c r="A26" s="375">
        <v>1</v>
      </c>
      <c r="B26" s="376"/>
      <c r="C26" s="379" t="s">
        <v>158</v>
      </c>
      <c r="D26" s="380"/>
      <c r="E26" s="381" t="s">
        <v>71</v>
      </c>
      <c r="F26" s="382"/>
      <c r="G26" s="59" t="s">
        <v>26</v>
      </c>
      <c r="H26" s="55">
        <v>323400</v>
      </c>
      <c r="I26" s="56"/>
      <c r="J26" s="57"/>
      <c r="K26" s="57"/>
      <c r="L26" s="58">
        <f t="shared" si="0"/>
        <v>323400</v>
      </c>
    </row>
    <row r="27" spans="1:12" x14ac:dyDescent="0.25">
      <c r="A27" s="375">
        <v>1</v>
      </c>
      <c r="B27" s="376"/>
      <c r="C27" s="322">
        <v>3</v>
      </c>
      <c r="D27" s="324"/>
      <c r="E27" s="381" t="s">
        <v>104</v>
      </c>
      <c r="F27" s="382"/>
      <c r="G27" s="111" t="s">
        <v>26</v>
      </c>
      <c r="H27" s="60">
        <v>433600</v>
      </c>
      <c r="I27" s="56"/>
      <c r="J27" s="57"/>
      <c r="K27" s="57"/>
      <c r="L27" s="58">
        <f t="shared" si="0"/>
        <v>433600</v>
      </c>
    </row>
    <row r="28" spans="1:12" x14ac:dyDescent="0.25">
      <c r="A28" s="375">
        <v>1</v>
      </c>
      <c r="B28" s="376"/>
      <c r="C28" s="322">
        <v>1</v>
      </c>
      <c r="D28" s="324"/>
      <c r="E28" s="383" t="s">
        <v>160</v>
      </c>
      <c r="F28" s="383"/>
      <c r="G28" s="111" t="s">
        <v>26</v>
      </c>
      <c r="H28" s="60">
        <v>534800</v>
      </c>
      <c r="I28" s="56"/>
      <c r="J28" s="57"/>
      <c r="K28" s="57"/>
      <c r="L28" s="58">
        <f t="shared" si="0"/>
        <v>534800</v>
      </c>
    </row>
    <row r="29" spans="1:12" x14ac:dyDescent="0.25">
      <c r="A29" s="375">
        <v>1</v>
      </c>
      <c r="B29" s="376"/>
      <c r="C29" s="379" t="s">
        <v>77</v>
      </c>
      <c r="D29" s="380"/>
      <c r="E29" s="377" t="s">
        <v>161</v>
      </c>
      <c r="F29" s="378"/>
      <c r="G29" s="111" t="s">
        <v>26</v>
      </c>
      <c r="H29" s="60">
        <v>313900</v>
      </c>
      <c r="I29" s="56"/>
      <c r="J29" s="57"/>
      <c r="K29" s="57"/>
      <c r="L29" s="58">
        <f t="shared" si="0"/>
        <v>313900</v>
      </c>
    </row>
    <row r="30" spans="1:12" x14ac:dyDescent="0.25">
      <c r="A30" s="375">
        <v>1</v>
      </c>
      <c r="B30" s="376"/>
      <c r="C30" s="322">
        <v>3</v>
      </c>
      <c r="D30" s="324"/>
      <c r="E30" s="392" t="s">
        <v>106</v>
      </c>
      <c r="F30" s="393"/>
      <c r="G30" s="111" t="s">
        <v>26</v>
      </c>
      <c r="H30" s="60">
        <v>418100</v>
      </c>
      <c r="I30" s="56"/>
      <c r="J30" s="57"/>
      <c r="K30" s="57"/>
      <c r="L30" s="58">
        <f t="shared" si="0"/>
        <v>418100</v>
      </c>
    </row>
    <row r="31" spans="1:12" x14ac:dyDescent="0.25">
      <c r="A31" s="375">
        <v>2</v>
      </c>
      <c r="B31" s="376"/>
      <c r="C31" s="379" t="s">
        <v>177</v>
      </c>
      <c r="D31" s="380"/>
      <c r="E31" s="392" t="s">
        <v>178</v>
      </c>
      <c r="F31" s="393"/>
      <c r="G31" s="116" t="s">
        <v>26</v>
      </c>
      <c r="H31" s="60">
        <v>1734600</v>
      </c>
      <c r="I31" s="56"/>
      <c r="J31" s="57"/>
      <c r="K31" s="57"/>
      <c r="L31" s="58">
        <f t="shared" si="0"/>
        <v>1734600</v>
      </c>
    </row>
    <row r="32" spans="1:12" x14ac:dyDescent="0.25">
      <c r="A32" s="390">
        <v>45820</v>
      </c>
      <c r="B32" s="391"/>
      <c r="C32" s="322">
        <v>1</v>
      </c>
      <c r="D32" s="324"/>
      <c r="E32" s="392" t="s">
        <v>64</v>
      </c>
      <c r="F32" s="393"/>
      <c r="G32" s="123" t="s">
        <v>26</v>
      </c>
      <c r="H32" s="60">
        <v>86172281</v>
      </c>
      <c r="I32" s="56"/>
      <c r="J32" s="57"/>
      <c r="K32" s="57"/>
      <c r="L32" s="58">
        <f t="shared" si="0"/>
        <v>86172281</v>
      </c>
    </row>
    <row r="33" spans="1:12" x14ac:dyDescent="0.25">
      <c r="A33" s="322"/>
      <c r="B33" s="324"/>
      <c r="C33" s="61" t="s">
        <v>45</v>
      </c>
      <c r="D33" s="62"/>
      <c r="E33" s="62"/>
      <c r="F33" s="62"/>
      <c r="G33" s="62"/>
      <c r="H33" s="63">
        <f>SUM(H15:H32)</f>
        <v>99092300</v>
      </c>
      <c r="I33" s="334"/>
      <c r="J33" s="335"/>
      <c r="K33" s="336"/>
      <c r="L33" s="63">
        <f>SUM(L15:L32)</f>
        <v>99092300</v>
      </c>
    </row>
    <row r="34" spans="1:12" x14ac:dyDescent="0.25">
      <c r="A34" s="64"/>
      <c r="B34" s="38"/>
      <c r="C34" s="29"/>
      <c r="D34" s="30"/>
      <c r="E34" s="30"/>
      <c r="F34" s="30"/>
      <c r="G34" s="30"/>
      <c r="H34" s="31"/>
      <c r="I34" s="31"/>
      <c r="J34" s="31"/>
      <c r="K34" s="31"/>
      <c r="L34" s="32"/>
    </row>
    <row r="35" spans="1:12" x14ac:dyDescent="0.25">
      <c r="A35" s="48" t="s">
        <v>46</v>
      </c>
      <c r="B35" s="38"/>
      <c r="C35" s="29"/>
      <c r="D35" s="30"/>
      <c r="E35" s="30"/>
      <c r="F35" s="30"/>
      <c r="G35" s="30"/>
      <c r="H35" s="31"/>
      <c r="I35" s="31"/>
      <c r="J35" s="31"/>
      <c r="K35" s="31"/>
      <c r="L35" s="32"/>
    </row>
    <row r="36" spans="1:12" x14ac:dyDescent="0.25">
      <c r="A36" s="48"/>
      <c r="B36" s="30"/>
      <c r="C36" s="30"/>
      <c r="D36" s="30"/>
      <c r="E36" s="30"/>
      <c r="F36" s="30"/>
      <c r="G36" s="30"/>
      <c r="H36" s="31"/>
      <c r="I36" s="31"/>
      <c r="J36" s="31"/>
      <c r="K36" s="31"/>
      <c r="L36" s="32"/>
    </row>
    <row r="37" spans="1:12" x14ac:dyDescent="0.25">
      <c r="A37" s="357" t="s">
        <v>47</v>
      </c>
      <c r="B37" s="358"/>
      <c r="C37" s="363" t="s">
        <v>48</v>
      </c>
      <c r="D37" s="364"/>
      <c r="E37" s="357" t="s">
        <v>49</v>
      </c>
      <c r="F37" s="369"/>
      <c r="G37" s="369"/>
      <c r="H37" s="369"/>
      <c r="I37" s="369"/>
      <c r="J37" s="369"/>
      <c r="K37" s="358"/>
      <c r="L37" s="372" t="s">
        <v>50</v>
      </c>
    </row>
    <row r="38" spans="1:12" x14ac:dyDescent="0.25">
      <c r="A38" s="359"/>
      <c r="B38" s="360"/>
      <c r="C38" s="365"/>
      <c r="D38" s="366"/>
      <c r="E38" s="359"/>
      <c r="F38" s="370"/>
      <c r="G38" s="370"/>
      <c r="H38" s="370"/>
      <c r="I38" s="370"/>
      <c r="J38" s="370"/>
      <c r="K38" s="360"/>
      <c r="L38" s="373"/>
    </row>
    <row r="39" spans="1:12" x14ac:dyDescent="0.25">
      <c r="A39" s="361"/>
      <c r="B39" s="362"/>
      <c r="C39" s="367"/>
      <c r="D39" s="368"/>
      <c r="E39" s="361"/>
      <c r="F39" s="371"/>
      <c r="G39" s="371"/>
      <c r="H39" s="371"/>
      <c r="I39" s="371"/>
      <c r="J39" s="371"/>
      <c r="K39" s="362"/>
      <c r="L39" s="374"/>
    </row>
    <row r="40" spans="1:12" s="33" customFormat="1" x14ac:dyDescent="0.25">
      <c r="A40" s="352">
        <v>45801</v>
      </c>
      <c r="B40" s="353"/>
      <c r="C40" s="322">
        <v>2431</v>
      </c>
      <c r="D40" s="324"/>
      <c r="E40" s="354" t="s">
        <v>148</v>
      </c>
      <c r="F40" s="355"/>
      <c r="G40" s="355"/>
      <c r="H40" s="355"/>
      <c r="I40" s="355"/>
      <c r="J40" s="355"/>
      <c r="K40" s="356"/>
      <c r="L40" s="55">
        <v>4140000</v>
      </c>
    </row>
    <row r="41" spans="1:12" s="33" customFormat="1" x14ac:dyDescent="0.25">
      <c r="A41" s="352">
        <v>45813</v>
      </c>
      <c r="B41" s="353"/>
      <c r="C41" s="322">
        <v>2463</v>
      </c>
      <c r="D41" s="324"/>
      <c r="E41" s="354" t="s">
        <v>150</v>
      </c>
      <c r="F41" s="355"/>
      <c r="G41" s="355"/>
      <c r="H41" s="355"/>
      <c r="I41" s="355"/>
      <c r="J41" s="355"/>
      <c r="K41" s="356"/>
      <c r="L41" s="55">
        <v>7562400</v>
      </c>
    </row>
    <row r="42" spans="1:12" x14ac:dyDescent="0.25">
      <c r="A42" s="352">
        <v>45815</v>
      </c>
      <c r="B42" s="353"/>
      <c r="C42" s="322" t="s">
        <v>100</v>
      </c>
      <c r="D42" s="324"/>
      <c r="E42" s="354" t="s">
        <v>143</v>
      </c>
      <c r="F42" s="355"/>
      <c r="G42" s="355"/>
      <c r="H42" s="355"/>
      <c r="I42" s="355"/>
      <c r="J42" s="355"/>
      <c r="K42" s="356"/>
      <c r="L42" s="55">
        <v>360000</v>
      </c>
    </row>
    <row r="43" spans="1:12" x14ac:dyDescent="0.25">
      <c r="A43" s="352">
        <v>45818</v>
      </c>
      <c r="B43" s="353"/>
      <c r="C43" s="322">
        <v>2473</v>
      </c>
      <c r="D43" s="324"/>
      <c r="E43" s="354" t="s">
        <v>163</v>
      </c>
      <c r="F43" s="355"/>
      <c r="G43" s="355"/>
      <c r="H43" s="355"/>
      <c r="I43" s="355"/>
      <c r="J43" s="355"/>
      <c r="K43" s="356"/>
      <c r="L43" s="55">
        <v>12025000</v>
      </c>
    </row>
    <row r="44" spans="1:12" x14ac:dyDescent="0.25">
      <c r="A44" s="352">
        <v>45822</v>
      </c>
      <c r="B44" s="353"/>
      <c r="C44" s="322" t="s">
        <v>100</v>
      </c>
      <c r="D44" s="324"/>
      <c r="E44" s="354" t="s">
        <v>145</v>
      </c>
      <c r="F44" s="355"/>
      <c r="G44" s="355"/>
      <c r="H44" s="355"/>
      <c r="I44" s="355"/>
      <c r="J44" s="355"/>
      <c r="K44" s="356"/>
      <c r="L44" s="55">
        <v>40000</v>
      </c>
    </row>
    <row r="45" spans="1:12" x14ac:dyDescent="0.25">
      <c r="A45" s="352">
        <v>45824</v>
      </c>
      <c r="B45" s="353"/>
      <c r="C45" s="322" t="s">
        <v>100</v>
      </c>
      <c r="D45" s="324"/>
      <c r="E45" s="354" t="s">
        <v>147</v>
      </c>
      <c r="F45" s="355"/>
      <c r="G45" s="355"/>
      <c r="H45" s="355"/>
      <c r="I45" s="355"/>
      <c r="J45" s="355"/>
      <c r="K45" s="356"/>
      <c r="L45" s="55">
        <v>60000</v>
      </c>
    </row>
    <row r="46" spans="1:12" x14ac:dyDescent="0.25">
      <c r="A46" s="352">
        <v>45826</v>
      </c>
      <c r="B46" s="353"/>
      <c r="C46" s="322">
        <v>2493</v>
      </c>
      <c r="D46" s="324"/>
      <c r="E46" s="354" t="s">
        <v>165</v>
      </c>
      <c r="F46" s="355"/>
      <c r="G46" s="355"/>
      <c r="H46" s="355"/>
      <c r="I46" s="355"/>
      <c r="J46" s="355"/>
      <c r="K46" s="356"/>
      <c r="L46" s="55">
        <v>4640000</v>
      </c>
    </row>
    <row r="47" spans="1:12" x14ac:dyDescent="0.25">
      <c r="A47" s="352">
        <v>45827</v>
      </c>
      <c r="B47" s="353"/>
      <c r="C47" s="322">
        <v>2494</v>
      </c>
      <c r="D47" s="324"/>
      <c r="E47" s="354" t="s">
        <v>167</v>
      </c>
      <c r="F47" s="355"/>
      <c r="G47" s="355"/>
      <c r="H47" s="355"/>
      <c r="I47" s="355"/>
      <c r="J47" s="355"/>
      <c r="K47" s="356"/>
      <c r="L47" s="55">
        <v>5614000</v>
      </c>
    </row>
    <row r="48" spans="1:12" x14ac:dyDescent="0.25">
      <c r="A48" s="352">
        <v>45828</v>
      </c>
      <c r="B48" s="353"/>
      <c r="C48" s="322">
        <v>1817</v>
      </c>
      <c r="D48" s="324"/>
      <c r="E48" s="354" t="s">
        <v>146</v>
      </c>
      <c r="F48" s="355"/>
      <c r="G48" s="355"/>
      <c r="H48" s="355"/>
      <c r="I48" s="355"/>
      <c r="J48" s="355"/>
      <c r="K48" s="356"/>
      <c r="L48" s="55">
        <v>8400</v>
      </c>
    </row>
    <row r="49" spans="1:12" x14ac:dyDescent="0.25">
      <c r="A49" s="352">
        <v>45828</v>
      </c>
      <c r="B49" s="353"/>
      <c r="C49" s="322">
        <v>2498</v>
      </c>
      <c r="D49" s="324"/>
      <c r="E49" s="354" t="s">
        <v>152</v>
      </c>
      <c r="F49" s="355"/>
      <c r="G49" s="355"/>
      <c r="H49" s="355"/>
      <c r="I49" s="355"/>
      <c r="J49" s="355"/>
      <c r="K49" s="356"/>
      <c r="L49" s="55">
        <v>11926000</v>
      </c>
    </row>
    <row r="50" spans="1:12" x14ac:dyDescent="0.25">
      <c r="A50" s="352">
        <v>45829</v>
      </c>
      <c r="B50" s="353"/>
      <c r="C50" s="322">
        <v>2500</v>
      </c>
      <c r="D50" s="324"/>
      <c r="E50" s="354" t="s">
        <v>154</v>
      </c>
      <c r="F50" s="355"/>
      <c r="G50" s="355"/>
      <c r="H50" s="355"/>
      <c r="I50" s="355"/>
      <c r="J50" s="355"/>
      <c r="K50" s="356"/>
      <c r="L50" s="55">
        <v>7914000</v>
      </c>
    </row>
    <row r="51" spans="1:12" x14ac:dyDescent="0.25">
      <c r="A51" s="352">
        <v>45829</v>
      </c>
      <c r="B51" s="353"/>
      <c r="C51" s="322">
        <v>2501</v>
      </c>
      <c r="D51" s="324"/>
      <c r="E51" s="354" t="s">
        <v>156</v>
      </c>
      <c r="F51" s="355"/>
      <c r="G51" s="355"/>
      <c r="H51" s="355"/>
      <c r="I51" s="355"/>
      <c r="J51" s="355"/>
      <c r="K51" s="356"/>
      <c r="L51" s="55">
        <v>4290000</v>
      </c>
    </row>
    <row r="52" spans="1:12" x14ac:dyDescent="0.25">
      <c r="A52" s="352">
        <v>45829</v>
      </c>
      <c r="B52" s="353"/>
      <c r="C52" s="322">
        <v>2505</v>
      </c>
      <c r="D52" s="324"/>
      <c r="E52" s="354" t="s">
        <v>169</v>
      </c>
      <c r="F52" s="355"/>
      <c r="G52" s="355"/>
      <c r="H52" s="355"/>
      <c r="I52" s="355"/>
      <c r="J52" s="355"/>
      <c r="K52" s="356"/>
      <c r="L52" s="55">
        <v>8712500</v>
      </c>
    </row>
    <row r="53" spans="1:12" x14ac:dyDescent="0.25">
      <c r="A53" s="352">
        <v>45833</v>
      </c>
      <c r="B53" s="353"/>
      <c r="C53" s="322">
        <v>15635</v>
      </c>
      <c r="D53" s="324"/>
      <c r="E53" s="354" t="s">
        <v>159</v>
      </c>
      <c r="F53" s="355"/>
      <c r="G53" s="355"/>
      <c r="H53" s="355"/>
      <c r="I53" s="355"/>
      <c r="J53" s="355"/>
      <c r="K53" s="356"/>
      <c r="L53" s="55">
        <v>19000</v>
      </c>
    </row>
    <row r="54" spans="1:12" x14ac:dyDescent="0.25">
      <c r="A54" s="352">
        <v>45833</v>
      </c>
      <c r="B54" s="353"/>
      <c r="C54" s="322">
        <v>2511</v>
      </c>
      <c r="D54" s="324"/>
      <c r="E54" s="354" t="s">
        <v>172</v>
      </c>
      <c r="F54" s="355"/>
      <c r="G54" s="355"/>
      <c r="H54" s="355"/>
      <c r="I54" s="355"/>
      <c r="J54" s="355"/>
      <c r="K54" s="356"/>
      <c r="L54" s="55">
        <v>11439000</v>
      </c>
    </row>
    <row r="55" spans="1:12" x14ac:dyDescent="0.25">
      <c r="A55" s="352">
        <v>45834</v>
      </c>
      <c r="B55" s="353"/>
      <c r="C55" s="322">
        <v>2515</v>
      </c>
      <c r="D55" s="324"/>
      <c r="E55" s="354" t="s">
        <v>173</v>
      </c>
      <c r="F55" s="355"/>
      <c r="G55" s="355"/>
      <c r="H55" s="355"/>
      <c r="I55" s="355"/>
      <c r="J55" s="355"/>
      <c r="K55" s="356"/>
      <c r="L55" s="55">
        <v>10611000</v>
      </c>
    </row>
    <row r="56" spans="1:12" x14ac:dyDescent="0.25">
      <c r="A56" s="352">
        <v>45836</v>
      </c>
      <c r="B56" s="353"/>
      <c r="C56" s="322">
        <v>2517</v>
      </c>
      <c r="D56" s="324"/>
      <c r="E56" s="354" t="s">
        <v>175</v>
      </c>
      <c r="F56" s="355"/>
      <c r="G56" s="355"/>
      <c r="H56" s="355"/>
      <c r="I56" s="355"/>
      <c r="J56" s="355"/>
      <c r="K56" s="356"/>
      <c r="L56" s="55">
        <v>9611000</v>
      </c>
    </row>
    <row r="57" spans="1:12" x14ac:dyDescent="0.25">
      <c r="A57" s="352">
        <v>45836</v>
      </c>
      <c r="B57" s="353"/>
      <c r="C57" s="322" t="s">
        <v>100</v>
      </c>
      <c r="D57" s="324"/>
      <c r="E57" s="354" t="s">
        <v>162</v>
      </c>
      <c r="F57" s="355"/>
      <c r="G57" s="355"/>
      <c r="H57" s="355"/>
      <c r="I57" s="355"/>
      <c r="J57" s="355"/>
      <c r="K57" s="356"/>
      <c r="L57" s="55">
        <v>120000</v>
      </c>
    </row>
    <row r="58" spans="1:12" x14ac:dyDescent="0.25">
      <c r="A58" s="334" t="s">
        <v>51</v>
      </c>
      <c r="B58" s="335"/>
      <c r="C58" s="335"/>
      <c r="D58" s="335"/>
      <c r="E58" s="335"/>
      <c r="F58" s="335"/>
      <c r="G58" s="335"/>
      <c r="H58" s="335"/>
      <c r="I58" s="335"/>
      <c r="J58" s="335"/>
      <c r="K58" s="336"/>
      <c r="L58" s="63">
        <f>SUM(L40:L57)</f>
        <v>99092300</v>
      </c>
    </row>
    <row r="59" spans="1:12" x14ac:dyDescent="0.25">
      <c r="A59" s="65"/>
      <c r="B59" s="66"/>
      <c r="C59" s="66"/>
      <c r="D59" s="66"/>
      <c r="E59" s="66"/>
      <c r="F59" s="66"/>
      <c r="G59" s="66"/>
      <c r="H59" s="31"/>
      <c r="I59" s="31"/>
      <c r="J59" s="31"/>
      <c r="K59" s="31"/>
      <c r="L59" s="31"/>
    </row>
    <row r="60" spans="1:12" x14ac:dyDescent="0.25">
      <c r="A60" s="48" t="s">
        <v>52</v>
      </c>
      <c r="B60" s="30"/>
      <c r="C60" s="30"/>
      <c r="D60" s="30"/>
      <c r="E60" s="30"/>
      <c r="F60" s="30"/>
      <c r="G60" s="30"/>
      <c r="H60" s="31"/>
      <c r="I60" s="31"/>
      <c r="J60" s="31"/>
      <c r="K60" s="31"/>
      <c r="L60" s="31"/>
    </row>
    <row r="61" spans="1:12" x14ac:dyDescent="0.25">
      <c r="A61" s="44"/>
      <c r="B61" s="45"/>
      <c r="C61" s="45"/>
      <c r="D61" s="45"/>
      <c r="E61" s="45"/>
      <c r="F61" s="45"/>
      <c r="G61" s="45"/>
      <c r="H61" s="31"/>
      <c r="I61" s="31"/>
      <c r="J61" s="46"/>
      <c r="K61" s="46"/>
      <c r="L61" s="31"/>
    </row>
    <row r="62" spans="1:12" x14ac:dyDescent="0.25">
      <c r="A62" s="337" t="s">
        <v>53</v>
      </c>
      <c r="B62" s="338"/>
      <c r="C62" s="337" t="s">
        <v>54</v>
      </c>
      <c r="D62" s="338"/>
      <c r="E62" s="108" t="s">
        <v>55</v>
      </c>
      <c r="F62" s="68" t="s">
        <v>37</v>
      </c>
      <c r="G62" s="339"/>
      <c r="H62" s="340"/>
      <c r="I62" s="340"/>
      <c r="J62" s="340"/>
      <c r="K62" s="341"/>
      <c r="L62" s="348" t="s">
        <v>56</v>
      </c>
    </row>
    <row r="63" spans="1:12" x14ac:dyDescent="0.25">
      <c r="A63" s="316"/>
      <c r="B63" s="317"/>
      <c r="C63" s="350" t="s">
        <v>57</v>
      </c>
      <c r="D63" s="351"/>
      <c r="E63" s="69"/>
      <c r="F63" s="44"/>
      <c r="G63" s="342"/>
      <c r="H63" s="343"/>
      <c r="I63" s="343"/>
      <c r="J63" s="343"/>
      <c r="K63" s="344"/>
      <c r="L63" s="349"/>
    </row>
    <row r="64" spans="1:12" x14ac:dyDescent="0.25">
      <c r="A64" s="310"/>
      <c r="B64" s="312"/>
      <c r="C64" s="310"/>
      <c r="D64" s="312"/>
      <c r="E64" s="70"/>
      <c r="F64" s="110"/>
      <c r="G64" s="342"/>
      <c r="H64" s="343"/>
      <c r="I64" s="343"/>
      <c r="J64" s="343"/>
      <c r="K64" s="344"/>
      <c r="L64" s="55"/>
    </row>
    <row r="65" spans="1:13" x14ac:dyDescent="0.25">
      <c r="A65" s="310"/>
      <c r="B65" s="312"/>
      <c r="C65" s="310"/>
      <c r="D65" s="312"/>
      <c r="E65" s="70"/>
      <c r="F65" s="64"/>
      <c r="G65" s="345"/>
      <c r="H65" s="346"/>
      <c r="I65" s="346"/>
      <c r="J65" s="346"/>
      <c r="K65" s="347"/>
      <c r="L65" s="72"/>
    </row>
    <row r="66" spans="1:13" x14ac:dyDescent="0.25">
      <c r="A66" s="322" t="s">
        <v>41</v>
      </c>
      <c r="B66" s="323"/>
      <c r="C66" s="323"/>
      <c r="D66" s="323"/>
      <c r="E66" s="323"/>
      <c r="F66" s="323"/>
      <c r="G66" s="323"/>
      <c r="H66" s="323"/>
      <c r="I66" s="323"/>
      <c r="J66" s="323"/>
      <c r="K66" s="324"/>
      <c r="L66" s="73">
        <f>SUM(L64:L65)</f>
        <v>0</v>
      </c>
    </row>
    <row r="67" spans="1:13" x14ac:dyDescent="0.25">
      <c r="A67" s="325"/>
      <c r="B67" s="326"/>
      <c r="C67" s="326"/>
      <c r="D67" s="326"/>
      <c r="E67" s="326"/>
      <c r="F67" s="326"/>
      <c r="G67" s="326"/>
      <c r="H67" s="326"/>
      <c r="I67" s="326"/>
      <c r="J67" s="326"/>
      <c r="K67" s="326"/>
      <c r="L67" s="326"/>
    </row>
    <row r="68" spans="1:13" x14ac:dyDescent="0.25">
      <c r="A68" s="327" t="s">
        <v>58</v>
      </c>
      <c r="B68" s="328"/>
      <c r="C68" s="328"/>
      <c r="D68" s="328"/>
      <c r="E68" s="328"/>
      <c r="F68" s="328"/>
      <c r="G68" s="328"/>
      <c r="H68" s="328"/>
      <c r="I68" s="328"/>
      <c r="J68" s="329"/>
      <c r="K68" s="330">
        <f>K9+L33-L58-L66</f>
        <v>0</v>
      </c>
      <c r="L68" s="330"/>
    </row>
    <row r="69" spans="1:13" x14ac:dyDescent="0.25">
      <c r="A69" s="331"/>
      <c r="B69" s="332"/>
      <c r="C69" s="332"/>
      <c r="D69" s="332"/>
      <c r="E69" s="332"/>
      <c r="F69" s="332"/>
      <c r="G69" s="332"/>
      <c r="H69" s="332"/>
      <c r="I69" s="332"/>
      <c r="J69" s="332"/>
      <c r="K69" s="332"/>
      <c r="L69" s="333"/>
    </row>
    <row r="70" spans="1:13" x14ac:dyDescent="0.25">
      <c r="A70" s="305" t="s">
        <v>59</v>
      </c>
      <c r="B70" s="305"/>
      <c r="C70" s="305"/>
      <c r="D70" s="305"/>
      <c r="E70" s="305"/>
      <c r="F70" s="305" t="s">
        <v>60</v>
      </c>
      <c r="G70" s="305"/>
      <c r="H70" s="305"/>
      <c r="I70" s="306"/>
      <c r="J70" s="309" t="s">
        <v>61</v>
      </c>
      <c r="K70" s="309"/>
      <c r="L70" s="309"/>
    </row>
    <row r="71" spans="1:13" x14ac:dyDescent="0.25">
      <c r="A71" s="310"/>
      <c r="B71" s="311"/>
      <c r="C71" s="311"/>
      <c r="D71" s="311"/>
      <c r="E71" s="312"/>
      <c r="F71" s="310"/>
      <c r="G71" s="311"/>
      <c r="H71" s="312"/>
      <c r="I71" s="307"/>
      <c r="J71" s="313"/>
      <c r="K71" s="314"/>
      <c r="L71" s="315"/>
      <c r="M71" s="74"/>
    </row>
    <row r="72" spans="1:13" x14ac:dyDescent="0.25">
      <c r="A72" s="316"/>
      <c r="B72" s="317"/>
      <c r="C72" s="317"/>
      <c r="D72" s="317"/>
      <c r="E72" s="318"/>
      <c r="F72" s="316"/>
      <c r="G72" s="317"/>
      <c r="H72" s="318"/>
      <c r="I72" s="308"/>
      <c r="J72" s="319"/>
      <c r="K72" s="320"/>
      <c r="L72" s="321"/>
    </row>
    <row r="73" spans="1:13" x14ac:dyDescent="0.25">
      <c r="A73" s="33"/>
      <c r="B73" s="33"/>
      <c r="C73" s="33"/>
      <c r="D73" s="33"/>
      <c r="E73" s="33"/>
      <c r="F73" s="33"/>
      <c r="G73" s="33"/>
      <c r="H73" s="75"/>
      <c r="I73" s="75"/>
      <c r="J73" s="75"/>
      <c r="K73" s="75"/>
      <c r="L73" s="75"/>
    </row>
  </sheetData>
  <mergeCells count="152">
    <mergeCell ref="C65:D65"/>
    <mergeCell ref="A66:K66"/>
    <mergeCell ref="A67:L67"/>
    <mergeCell ref="A68:J68"/>
    <mergeCell ref="K68:L68"/>
    <mergeCell ref="A69:L69"/>
    <mergeCell ref="A58:K58"/>
    <mergeCell ref="A62:B62"/>
    <mergeCell ref="A56:B56"/>
    <mergeCell ref="C56:D56"/>
    <mergeCell ref="E56:K56"/>
    <mergeCell ref="C62:D62"/>
    <mergeCell ref="G62:K65"/>
    <mergeCell ref="L62:L63"/>
    <mergeCell ref="A63:B63"/>
    <mergeCell ref="C63:D63"/>
    <mergeCell ref="A64:B64"/>
    <mergeCell ref="C64:D64"/>
    <mergeCell ref="A65:B65"/>
    <mergeCell ref="A70:E70"/>
    <mergeCell ref="F70:H70"/>
    <mergeCell ref="I70:I72"/>
    <mergeCell ref="J70:L70"/>
    <mergeCell ref="A71:E71"/>
    <mergeCell ref="F71:H71"/>
    <mergeCell ref="J71:L71"/>
    <mergeCell ref="A72:E72"/>
    <mergeCell ref="F72:H72"/>
    <mergeCell ref="J72:L72"/>
    <mergeCell ref="A51:B51"/>
    <mergeCell ref="C51:D51"/>
    <mergeCell ref="E51:K51"/>
    <mergeCell ref="A53:B53"/>
    <mergeCell ref="C53:D53"/>
    <mergeCell ref="E53:K53"/>
    <mergeCell ref="A57:B57"/>
    <mergeCell ref="C57:D57"/>
    <mergeCell ref="E57:K57"/>
    <mergeCell ref="A54:B54"/>
    <mergeCell ref="A55:B55"/>
    <mergeCell ref="C54:D54"/>
    <mergeCell ref="C55:D55"/>
    <mergeCell ref="C52:D52"/>
    <mergeCell ref="A52:B52"/>
    <mergeCell ref="E52:K52"/>
    <mergeCell ref="E54:K54"/>
    <mergeCell ref="E55:K55"/>
    <mergeCell ref="A49:B49"/>
    <mergeCell ref="C49:D49"/>
    <mergeCell ref="E49:K49"/>
    <mergeCell ref="A50:B50"/>
    <mergeCell ref="C50:D50"/>
    <mergeCell ref="E50:K50"/>
    <mergeCell ref="A45:B45"/>
    <mergeCell ref="C45:D45"/>
    <mergeCell ref="E45:K45"/>
    <mergeCell ref="A48:B48"/>
    <mergeCell ref="C48:D48"/>
    <mergeCell ref="E48:K48"/>
    <mergeCell ref="A47:B47"/>
    <mergeCell ref="A46:B46"/>
    <mergeCell ref="C46:D46"/>
    <mergeCell ref="C47:D47"/>
    <mergeCell ref="E46:K46"/>
    <mergeCell ref="E47:K47"/>
    <mergeCell ref="A42:B42"/>
    <mergeCell ref="C42:D42"/>
    <mergeCell ref="E42:K42"/>
    <mergeCell ref="A44:B44"/>
    <mergeCell ref="C44:D44"/>
    <mergeCell ref="E44:K44"/>
    <mergeCell ref="A33:B33"/>
    <mergeCell ref="I33:K33"/>
    <mergeCell ref="A37:B39"/>
    <mergeCell ref="C37:D39"/>
    <mergeCell ref="E37:K39"/>
    <mergeCell ref="C43:D43"/>
    <mergeCell ref="A43:B43"/>
    <mergeCell ref="E43:K43"/>
    <mergeCell ref="A40:B40"/>
    <mergeCell ref="C40:D40"/>
    <mergeCell ref="E40:K40"/>
    <mergeCell ref="A41:B41"/>
    <mergeCell ref="C41:D41"/>
    <mergeCell ref="E41:K41"/>
    <mergeCell ref="L37:L39"/>
    <mergeCell ref="A29:B29"/>
    <mergeCell ref="C29:D29"/>
    <mergeCell ref="E29:F29"/>
    <mergeCell ref="A30:B30"/>
    <mergeCell ref="C30:D30"/>
    <mergeCell ref="E30:F30"/>
    <mergeCell ref="A27:B27"/>
    <mergeCell ref="C27:D27"/>
    <mergeCell ref="E27:F27"/>
    <mergeCell ref="A28:B28"/>
    <mergeCell ref="C28:D28"/>
    <mergeCell ref="E28:F28"/>
    <mergeCell ref="A31:B31"/>
    <mergeCell ref="C31:D31"/>
    <mergeCell ref="E31:F31"/>
    <mergeCell ref="A26:B26"/>
    <mergeCell ref="C26:D26"/>
    <mergeCell ref="E26:F26"/>
    <mergeCell ref="A23:B23"/>
    <mergeCell ref="C23:D23"/>
    <mergeCell ref="E23:F23"/>
    <mergeCell ref="A24:B24"/>
    <mergeCell ref="C24:D24"/>
    <mergeCell ref="E24:F24"/>
    <mergeCell ref="A17:B17"/>
    <mergeCell ref="C17:D17"/>
    <mergeCell ref="E17:F17"/>
    <mergeCell ref="A18:B18"/>
    <mergeCell ref="C18:D18"/>
    <mergeCell ref="E18:F18"/>
    <mergeCell ref="A25:B25"/>
    <mergeCell ref="C25:D25"/>
    <mergeCell ref="E25:F25"/>
    <mergeCell ref="G13:G14"/>
    <mergeCell ref="H13:H14"/>
    <mergeCell ref="I13:I14"/>
    <mergeCell ref="A1:L1"/>
    <mergeCell ref="A4:C4"/>
    <mergeCell ref="E4:F5"/>
    <mergeCell ref="A5:C5"/>
    <mergeCell ref="A9:J9"/>
    <mergeCell ref="K9:L9"/>
    <mergeCell ref="A15:B15"/>
    <mergeCell ref="C15:D15"/>
    <mergeCell ref="E15:F15"/>
    <mergeCell ref="A16:B16"/>
    <mergeCell ref="A32:B32"/>
    <mergeCell ref="C32:D32"/>
    <mergeCell ref="E32:F32"/>
    <mergeCell ref="A13:B14"/>
    <mergeCell ref="C13:D14"/>
    <mergeCell ref="E13:F14"/>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
  <sheetViews>
    <sheetView topLeftCell="A41" workbookViewId="0">
      <selection activeCell="A45" sqref="A45:F45"/>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18" t="s">
        <v>27</v>
      </c>
      <c r="B6" s="117" t="s">
        <v>28</v>
      </c>
      <c r="C6" s="117" t="s">
        <v>29</v>
      </c>
      <c r="D6" s="30"/>
      <c r="E6" s="30"/>
      <c r="F6" s="30"/>
      <c r="G6" s="30"/>
      <c r="H6" s="31"/>
      <c r="I6" s="31"/>
      <c r="J6" s="31"/>
      <c r="K6" s="31"/>
      <c r="L6" s="32"/>
    </row>
    <row r="7" spans="1:12" x14ac:dyDescent="0.25">
      <c r="A7" s="41" t="s">
        <v>140</v>
      </c>
      <c r="B7" s="42" t="s">
        <v>179</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20" t="s">
        <v>40</v>
      </c>
      <c r="K13" s="120" t="s">
        <v>40</v>
      </c>
      <c r="L13" s="120" t="s">
        <v>41</v>
      </c>
    </row>
    <row r="14" spans="1:12" x14ac:dyDescent="0.25">
      <c r="A14" s="396"/>
      <c r="B14" s="397"/>
      <c r="C14" s="396"/>
      <c r="D14" s="397"/>
      <c r="E14" s="361"/>
      <c r="F14" s="362"/>
      <c r="G14" s="399"/>
      <c r="H14" s="399"/>
      <c r="I14" s="399"/>
      <c r="J14" s="121" t="s">
        <v>42</v>
      </c>
      <c r="K14" s="121" t="s">
        <v>43</v>
      </c>
      <c r="L14" s="121" t="s">
        <v>44</v>
      </c>
    </row>
    <row r="15" spans="1:12" x14ac:dyDescent="0.25">
      <c r="A15" s="385">
        <v>1</v>
      </c>
      <c r="B15" s="384"/>
      <c r="C15" s="386" t="s">
        <v>77</v>
      </c>
      <c r="D15" s="386"/>
      <c r="E15" s="383" t="s">
        <v>180</v>
      </c>
      <c r="F15" s="383"/>
      <c r="G15" s="59" t="s">
        <v>26</v>
      </c>
      <c r="H15" s="55">
        <v>600000</v>
      </c>
      <c r="I15" s="56"/>
      <c r="J15" s="57"/>
      <c r="K15" s="57"/>
      <c r="L15" s="58">
        <f t="shared" ref="L15:L45" si="0">H15</f>
        <v>600000</v>
      </c>
    </row>
    <row r="16" spans="1:12" x14ac:dyDescent="0.25">
      <c r="A16" s="385">
        <v>1</v>
      </c>
      <c r="B16" s="384"/>
      <c r="C16" s="386" t="s">
        <v>77</v>
      </c>
      <c r="D16" s="386"/>
      <c r="E16" s="383" t="s">
        <v>181</v>
      </c>
      <c r="F16" s="383"/>
      <c r="G16" s="59" t="s">
        <v>26</v>
      </c>
      <c r="H16" s="55">
        <v>750000</v>
      </c>
      <c r="I16" s="56"/>
      <c r="J16" s="57"/>
      <c r="K16" s="57"/>
      <c r="L16" s="58">
        <f t="shared" si="0"/>
        <v>750000</v>
      </c>
    </row>
    <row r="17" spans="1:12" x14ac:dyDescent="0.25">
      <c r="A17" s="387" t="s">
        <v>77</v>
      </c>
      <c r="B17" s="386"/>
      <c r="C17" s="384">
        <v>5</v>
      </c>
      <c r="D17" s="384"/>
      <c r="E17" s="388" t="s">
        <v>72</v>
      </c>
      <c r="F17" s="389"/>
      <c r="G17" s="123" t="s">
        <v>26</v>
      </c>
      <c r="H17" s="60">
        <v>672300</v>
      </c>
      <c r="I17" s="56"/>
      <c r="J17" s="57"/>
      <c r="K17" s="57"/>
      <c r="L17" s="58">
        <f t="shared" si="0"/>
        <v>672300</v>
      </c>
    </row>
    <row r="18" spans="1:12" x14ac:dyDescent="0.25">
      <c r="A18" s="387" t="s">
        <v>77</v>
      </c>
      <c r="B18" s="386"/>
      <c r="C18" s="384">
        <v>4</v>
      </c>
      <c r="D18" s="384"/>
      <c r="E18" s="388" t="s">
        <v>89</v>
      </c>
      <c r="F18" s="389"/>
      <c r="G18" s="123" t="s">
        <v>26</v>
      </c>
      <c r="H18" s="55">
        <v>1060500</v>
      </c>
      <c r="I18" s="56"/>
      <c r="J18" s="57"/>
      <c r="K18" s="57"/>
      <c r="L18" s="58">
        <f t="shared" si="0"/>
        <v>1060500</v>
      </c>
    </row>
    <row r="19" spans="1:12" x14ac:dyDescent="0.25">
      <c r="A19" s="387" t="s">
        <v>77</v>
      </c>
      <c r="B19" s="386"/>
      <c r="C19" s="384">
        <v>3</v>
      </c>
      <c r="D19" s="384"/>
      <c r="E19" s="388" t="s">
        <v>182</v>
      </c>
      <c r="F19" s="389"/>
      <c r="G19" s="123" t="s">
        <v>26</v>
      </c>
      <c r="H19" s="55">
        <v>418100</v>
      </c>
      <c r="I19" s="56"/>
      <c r="J19" s="57"/>
      <c r="K19" s="57"/>
      <c r="L19" s="58">
        <f t="shared" si="0"/>
        <v>418100</v>
      </c>
    </row>
    <row r="20" spans="1:12" x14ac:dyDescent="0.25">
      <c r="A20" s="387" t="s">
        <v>77</v>
      </c>
      <c r="B20" s="386"/>
      <c r="C20" s="322">
        <v>3</v>
      </c>
      <c r="D20" s="324"/>
      <c r="E20" s="392" t="s">
        <v>133</v>
      </c>
      <c r="F20" s="393"/>
      <c r="G20" s="123" t="s">
        <v>26</v>
      </c>
      <c r="H20" s="55">
        <v>393500</v>
      </c>
      <c r="I20" s="56"/>
      <c r="J20" s="57"/>
      <c r="K20" s="57"/>
      <c r="L20" s="58">
        <f t="shared" si="0"/>
        <v>393500</v>
      </c>
    </row>
    <row r="21" spans="1:12" x14ac:dyDescent="0.25">
      <c r="A21" s="385">
        <v>1</v>
      </c>
      <c r="B21" s="384"/>
      <c r="C21" s="386" t="s">
        <v>142</v>
      </c>
      <c r="D21" s="386"/>
      <c r="E21" s="383" t="s">
        <v>105</v>
      </c>
      <c r="F21" s="383"/>
      <c r="G21" s="59" t="s">
        <v>26</v>
      </c>
      <c r="H21" s="55">
        <v>480300</v>
      </c>
      <c r="I21" s="56"/>
      <c r="J21" s="57"/>
      <c r="K21" s="57"/>
      <c r="L21" s="58">
        <f t="shared" si="0"/>
        <v>480300</v>
      </c>
    </row>
    <row r="22" spans="1:12" x14ac:dyDescent="0.25">
      <c r="A22" s="375">
        <v>1</v>
      </c>
      <c r="B22" s="376"/>
      <c r="C22" s="322">
        <v>4</v>
      </c>
      <c r="D22" s="324"/>
      <c r="E22" s="383" t="s">
        <v>103</v>
      </c>
      <c r="F22" s="383"/>
      <c r="G22" s="59" t="s">
        <v>26</v>
      </c>
      <c r="H22" s="55">
        <v>1661600</v>
      </c>
      <c r="I22" s="56"/>
      <c r="J22" s="57"/>
      <c r="K22" s="57"/>
      <c r="L22" s="58">
        <f t="shared" si="0"/>
        <v>1661600</v>
      </c>
    </row>
    <row r="23" spans="1:12" x14ac:dyDescent="0.25">
      <c r="A23" s="375">
        <v>1</v>
      </c>
      <c r="B23" s="376"/>
      <c r="C23" s="384">
        <v>2</v>
      </c>
      <c r="D23" s="384"/>
      <c r="E23" s="383" t="s">
        <v>138</v>
      </c>
      <c r="F23" s="383"/>
      <c r="G23" s="59" t="s">
        <v>26</v>
      </c>
      <c r="H23" s="55">
        <v>581200</v>
      </c>
      <c r="I23" s="56"/>
      <c r="J23" s="57"/>
      <c r="K23" s="57"/>
      <c r="L23" s="58">
        <f t="shared" si="0"/>
        <v>581200</v>
      </c>
    </row>
    <row r="24" spans="1:12" x14ac:dyDescent="0.25">
      <c r="A24" s="375">
        <v>1</v>
      </c>
      <c r="B24" s="376"/>
      <c r="C24" s="322">
        <v>1</v>
      </c>
      <c r="D24" s="324"/>
      <c r="E24" s="392" t="s">
        <v>184</v>
      </c>
      <c r="F24" s="393"/>
      <c r="G24" s="59" t="s">
        <v>26</v>
      </c>
      <c r="H24" s="55">
        <v>782600</v>
      </c>
      <c r="I24" s="56"/>
      <c r="J24" s="57"/>
      <c r="K24" s="57"/>
      <c r="L24" s="58">
        <f t="shared" si="0"/>
        <v>782600</v>
      </c>
    </row>
    <row r="25" spans="1:12" x14ac:dyDescent="0.25">
      <c r="A25" s="375">
        <v>1</v>
      </c>
      <c r="B25" s="376"/>
      <c r="C25" s="379" t="s">
        <v>80</v>
      </c>
      <c r="D25" s="380"/>
      <c r="E25" s="381" t="s">
        <v>132</v>
      </c>
      <c r="F25" s="382"/>
      <c r="G25" s="59" t="s">
        <v>26</v>
      </c>
      <c r="H25" s="55">
        <v>564700</v>
      </c>
      <c r="I25" s="56"/>
      <c r="J25" s="57"/>
      <c r="K25" s="57"/>
      <c r="L25" s="58">
        <f t="shared" si="0"/>
        <v>564700</v>
      </c>
    </row>
    <row r="26" spans="1:12" x14ac:dyDescent="0.25">
      <c r="A26" s="375">
        <v>1</v>
      </c>
      <c r="B26" s="376"/>
      <c r="C26" s="379" t="s">
        <v>77</v>
      </c>
      <c r="D26" s="380"/>
      <c r="E26" s="381" t="s">
        <v>185</v>
      </c>
      <c r="F26" s="382"/>
      <c r="G26" s="59" t="s">
        <v>26</v>
      </c>
      <c r="H26" s="55">
        <v>325300</v>
      </c>
      <c r="I26" s="56"/>
      <c r="J26" s="57"/>
      <c r="K26" s="57"/>
      <c r="L26" s="58">
        <f t="shared" si="0"/>
        <v>325300</v>
      </c>
    </row>
    <row r="27" spans="1:12" x14ac:dyDescent="0.25">
      <c r="A27" s="375">
        <v>1</v>
      </c>
      <c r="B27" s="376"/>
      <c r="C27" s="322">
        <v>1</v>
      </c>
      <c r="D27" s="324"/>
      <c r="E27" s="381" t="s">
        <v>186</v>
      </c>
      <c r="F27" s="382"/>
      <c r="G27" s="123" t="s">
        <v>26</v>
      </c>
      <c r="H27" s="60">
        <v>712300</v>
      </c>
      <c r="I27" s="56"/>
      <c r="J27" s="57"/>
      <c r="K27" s="57"/>
      <c r="L27" s="58">
        <f t="shared" si="0"/>
        <v>712300</v>
      </c>
    </row>
    <row r="28" spans="1:12" x14ac:dyDescent="0.25">
      <c r="A28" s="375">
        <v>1</v>
      </c>
      <c r="B28" s="376"/>
      <c r="C28" s="322">
        <v>6</v>
      </c>
      <c r="D28" s="324"/>
      <c r="E28" s="383" t="s">
        <v>71</v>
      </c>
      <c r="F28" s="383"/>
      <c r="G28" s="123" t="s">
        <v>26</v>
      </c>
      <c r="H28" s="60">
        <v>323400</v>
      </c>
      <c r="I28" s="56"/>
      <c r="J28" s="57"/>
      <c r="K28" s="57"/>
      <c r="L28" s="58">
        <f t="shared" si="0"/>
        <v>323400</v>
      </c>
    </row>
    <row r="29" spans="1:12" x14ac:dyDescent="0.25">
      <c r="A29" s="375">
        <v>1</v>
      </c>
      <c r="B29" s="376"/>
      <c r="C29" s="379" t="s">
        <v>142</v>
      </c>
      <c r="D29" s="380"/>
      <c r="E29" s="377" t="s">
        <v>135</v>
      </c>
      <c r="F29" s="378"/>
      <c r="G29" s="123" t="s">
        <v>26</v>
      </c>
      <c r="H29" s="60">
        <v>920600</v>
      </c>
      <c r="I29" s="56"/>
      <c r="J29" s="57"/>
      <c r="K29" s="57"/>
      <c r="L29" s="58">
        <f t="shared" si="0"/>
        <v>920600</v>
      </c>
    </row>
    <row r="30" spans="1:12" x14ac:dyDescent="0.25">
      <c r="A30" s="375">
        <v>1</v>
      </c>
      <c r="B30" s="376"/>
      <c r="C30" s="322">
        <v>1</v>
      </c>
      <c r="D30" s="324"/>
      <c r="E30" s="392" t="s">
        <v>187</v>
      </c>
      <c r="F30" s="393"/>
      <c r="G30" s="123" t="s">
        <v>26</v>
      </c>
      <c r="H30" s="60">
        <v>804500</v>
      </c>
      <c r="I30" s="56"/>
      <c r="J30" s="57"/>
      <c r="K30" s="57"/>
      <c r="L30" s="58">
        <f t="shared" si="0"/>
        <v>804500</v>
      </c>
    </row>
    <row r="31" spans="1:12" x14ac:dyDescent="0.25">
      <c r="A31" s="375">
        <v>1</v>
      </c>
      <c r="B31" s="376"/>
      <c r="C31" s="379" t="s">
        <v>188</v>
      </c>
      <c r="D31" s="380"/>
      <c r="E31" s="392" t="s">
        <v>106</v>
      </c>
      <c r="F31" s="393"/>
      <c r="G31" s="123" t="s">
        <v>26</v>
      </c>
      <c r="H31" s="60">
        <v>418100</v>
      </c>
      <c r="I31" s="56"/>
      <c r="J31" s="57"/>
      <c r="K31" s="57"/>
      <c r="L31" s="58">
        <f t="shared" si="0"/>
        <v>418100</v>
      </c>
    </row>
    <row r="32" spans="1:12" x14ac:dyDescent="0.25">
      <c r="A32" s="375">
        <v>1</v>
      </c>
      <c r="B32" s="376"/>
      <c r="C32" s="379" t="s">
        <v>188</v>
      </c>
      <c r="D32" s="380"/>
      <c r="E32" s="392" t="s">
        <v>105</v>
      </c>
      <c r="F32" s="393"/>
      <c r="G32" s="124" t="s">
        <v>26</v>
      </c>
      <c r="H32" s="60">
        <v>480300</v>
      </c>
      <c r="I32" s="56"/>
      <c r="J32" s="57"/>
      <c r="K32" s="57"/>
      <c r="L32" s="58">
        <f t="shared" si="0"/>
        <v>480300</v>
      </c>
    </row>
    <row r="33" spans="1:12" x14ac:dyDescent="0.25">
      <c r="A33" s="375">
        <v>1</v>
      </c>
      <c r="B33" s="376"/>
      <c r="C33" s="379" t="s">
        <v>142</v>
      </c>
      <c r="D33" s="380"/>
      <c r="E33" s="392" t="s">
        <v>107</v>
      </c>
      <c r="F33" s="393"/>
      <c r="G33" s="124" t="s">
        <v>26</v>
      </c>
      <c r="H33" s="60">
        <v>639349</v>
      </c>
      <c r="I33" s="56"/>
      <c r="J33" s="57"/>
      <c r="K33" s="57"/>
      <c r="L33" s="58">
        <f t="shared" si="0"/>
        <v>639349</v>
      </c>
    </row>
    <row r="34" spans="1:12" x14ac:dyDescent="0.25">
      <c r="A34" s="375">
        <v>1</v>
      </c>
      <c r="B34" s="376"/>
      <c r="C34" s="379" t="s">
        <v>188</v>
      </c>
      <c r="D34" s="380"/>
      <c r="E34" s="392" t="s">
        <v>86</v>
      </c>
      <c r="F34" s="393"/>
      <c r="G34" s="124" t="s">
        <v>26</v>
      </c>
      <c r="H34" s="60">
        <v>570600</v>
      </c>
      <c r="I34" s="56"/>
      <c r="J34" s="57"/>
      <c r="K34" s="57"/>
      <c r="L34" s="58">
        <f t="shared" si="0"/>
        <v>570600</v>
      </c>
    </row>
    <row r="35" spans="1:12" x14ac:dyDescent="0.25">
      <c r="A35" s="375">
        <v>1</v>
      </c>
      <c r="B35" s="376"/>
      <c r="C35" s="379" t="s">
        <v>158</v>
      </c>
      <c r="D35" s="380"/>
      <c r="E35" s="392" t="s">
        <v>83</v>
      </c>
      <c r="F35" s="393"/>
      <c r="G35" s="124" t="s">
        <v>26</v>
      </c>
      <c r="H35" s="60">
        <v>636400</v>
      </c>
      <c r="I35" s="56"/>
      <c r="J35" s="57"/>
      <c r="K35" s="57"/>
      <c r="L35" s="58">
        <f t="shared" si="0"/>
        <v>636400</v>
      </c>
    </row>
    <row r="36" spans="1:12" x14ac:dyDescent="0.25">
      <c r="A36" s="375">
        <v>1</v>
      </c>
      <c r="B36" s="376"/>
      <c r="C36" s="379" t="s">
        <v>188</v>
      </c>
      <c r="D36" s="380"/>
      <c r="E36" s="392" t="s">
        <v>104</v>
      </c>
      <c r="F36" s="393"/>
      <c r="G36" s="124" t="s">
        <v>26</v>
      </c>
      <c r="H36" s="60">
        <v>433600</v>
      </c>
      <c r="I36" s="56"/>
      <c r="J36" s="57"/>
      <c r="K36" s="57"/>
      <c r="L36" s="58">
        <f t="shared" si="0"/>
        <v>433600</v>
      </c>
    </row>
    <row r="37" spans="1:12" x14ac:dyDescent="0.25">
      <c r="A37" s="375">
        <v>1</v>
      </c>
      <c r="B37" s="376"/>
      <c r="C37" s="379" t="s">
        <v>142</v>
      </c>
      <c r="D37" s="380"/>
      <c r="E37" s="392" t="s">
        <v>134</v>
      </c>
      <c r="F37" s="393"/>
      <c r="G37" s="124" t="s">
        <v>26</v>
      </c>
      <c r="H37" s="60">
        <v>317700</v>
      </c>
      <c r="I37" s="56"/>
      <c r="J37" s="57"/>
      <c r="K37" s="57"/>
      <c r="L37" s="58">
        <f t="shared" si="0"/>
        <v>317700</v>
      </c>
    </row>
    <row r="38" spans="1:12" x14ac:dyDescent="0.25">
      <c r="A38" s="375">
        <v>2</v>
      </c>
      <c r="B38" s="376"/>
      <c r="C38" s="379" t="s">
        <v>190</v>
      </c>
      <c r="D38" s="380"/>
      <c r="E38" s="392" t="s">
        <v>178</v>
      </c>
      <c r="F38" s="393"/>
      <c r="G38" s="124" t="s">
        <v>26</v>
      </c>
      <c r="H38" s="60">
        <v>1734600</v>
      </c>
      <c r="I38" s="56"/>
      <c r="J38" s="57"/>
      <c r="K38" s="57"/>
      <c r="L38" s="58">
        <f t="shared" si="0"/>
        <v>1734600</v>
      </c>
    </row>
    <row r="39" spans="1:12" x14ac:dyDescent="0.25">
      <c r="A39" s="375">
        <v>1</v>
      </c>
      <c r="B39" s="376"/>
      <c r="C39" s="379" t="s">
        <v>77</v>
      </c>
      <c r="D39" s="380"/>
      <c r="E39" s="392" t="s">
        <v>191</v>
      </c>
      <c r="F39" s="393"/>
      <c r="G39" s="124" t="s">
        <v>26</v>
      </c>
      <c r="H39" s="60">
        <v>328300</v>
      </c>
      <c r="I39" s="56"/>
      <c r="J39" s="57"/>
      <c r="K39" s="57"/>
      <c r="L39" s="58">
        <f t="shared" si="0"/>
        <v>328300</v>
      </c>
    </row>
    <row r="40" spans="1:12" x14ac:dyDescent="0.25">
      <c r="A40" s="375">
        <v>1</v>
      </c>
      <c r="B40" s="376"/>
      <c r="C40" s="379" t="s">
        <v>77</v>
      </c>
      <c r="D40" s="380"/>
      <c r="E40" s="392" t="s">
        <v>192</v>
      </c>
      <c r="F40" s="393"/>
      <c r="G40" s="124" t="s">
        <v>26</v>
      </c>
      <c r="H40" s="60">
        <v>425600</v>
      </c>
      <c r="I40" s="56"/>
      <c r="J40" s="57"/>
      <c r="K40" s="57"/>
      <c r="L40" s="58">
        <f t="shared" si="0"/>
        <v>425600</v>
      </c>
    </row>
    <row r="41" spans="1:12" x14ac:dyDescent="0.25">
      <c r="A41" s="375">
        <v>1</v>
      </c>
      <c r="B41" s="376"/>
      <c r="C41" s="379" t="s">
        <v>77</v>
      </c>
      <c r="D41" s="380"/>
      <c r="E41" s="392" t="s">
        <v>193</v>
      </c>
      <c r="F41" s="393"/>
      <c r="G41" s="124" t="s">
        <v>26</v>
      </c>
      <c r="H41" s="60">
        <v>904200</v>
      </c>
      <c r="I41" s="56"/>
      <c r="J41" s="57"/>
      <c r="K41" s="57"/>
      <c r="L41" s="58">
        <f t="shared" si="0"/>
        <v>904200</v>
      </c>
    </row>
    <row r="42" spans="1:12" x14ac:dyDescent="0.25">
      <c r="A42" s="375">
        <v>1</v>
      </c>
      <c r="B42" s="376"/>
      <c r="C42" s="375">
        <v>1</v>
      </c>
      <c r="D42" s="376"/>
      <c r="E42" s="392" t="s">
        <v>194</v>
      </c>
      <c r="F42" s="393"/>
      <c r="G42" s="123" t="s">
        <v>26</v>
      </c>
      <c r="H42" s="60">
        <v>728700</v>
      </c>
      <c r="I42" s="56"/>
      <c r="J42" s="57"/>
      <c r="K42" s="57"/>
      <c r="L42" s="58">
        <f t="shared" si="0"/>
        <v>728700</v>
      </c>
    </row>
    <row r="43" spans="1:12" x14ac:dyDescent="0.25">
      <c r="A43" s="375">
        <v>1</v>
      </c>
      <c r="B43" s="376"/>
      <c r="C43" s="375">
        <v>1</v>
      </c>
      <c r="D43" s="376"/>
      <c r="E43" s="381" t="s">
        <v>197</v>
      </c>
      <c r="F43" s="382"/>
      <c r="G43" s="125" t="s">
        <v>26</v>
      </c>
      <c r="H43" s="60">
        <v>481700</v>
      </c>
      <c r="I43" s="56"/>
      <c r="J43" s="57"/>
      <c r="K43" s="57"/>
      <c r="L43" s="58">
        <f t="shared" si="0"/>
        <v>481700</v>
      </c>
    </row>
    <row r="44" spans="1:12" x14ac:dyDescent="0.25">
      <c r="A44" s="375">
        <v>1</v>
      </c>
      <c r="B44" s="376"/>
      <c r="C44" s="375">
        <v>2</v>
      </c>
      <c r="D44" s="376"/>
      <c r="E44" s="381" t="s">
        <v>185</v>
      </c>
      <c r="F44" s="382"/>
      <c r="G44" s="125" t="s">
        <v>26</v>
      </c>
      <c r="H44" s="60">
        <v>325300</v>
      </c>
      <c r="I44" s="56"/>
      <c r="J44" s="57"/>
      <c r="K44" s="57"/>
      <c r="L44" s="58">
        <f t="shared" si="0"/>
        <v>325300</v>
      </c>
    </row>
    <row r="45" spans="1:12" x14ac:dyDescent="0.25">
      <c r="A45" s="390">
        <v>45850</v>
      </c>
      <c r="B45" s="391"/>
      <c r="C45" s="322">
        <v>1</v>
      </c>
      <c r="D45" s="324"/>
      <c r="E45" s="392" t="s">
        <v>64</v>
      </c>
      <c r="F45" s="393"/>
      <c r="G45" s="125" t="s">
        <v>26</v>
      </c>
      <c r="H45" s="60">
        <v>21088451</v>
      </c>
      <c r="I45" s="56"/>
      <c r="J45" s="57"/>
      <c r="K45" s="57"/>
      <c r="L45" s="58">
        <f t="shared" si="0"/>
        <v>21088451</v>
      </c>
    </row>
    <row r="46" spans="1:12" x14ac:dyDescent="0.25">
      <c r="A46" s="322"/>
      <c r="B46" s="324"/>
      <c r="C46" s="61" t="s">
        <v>45</v>
      </c>
      <c r="D46" s="62"/>
      <c r="E46" s="62"/>
      <c r="F46" s="62"/>
      <c r="G46" s="62"/>
      <c r="H46" s="63">
        <f>SUM(H15:H45)</f>
        <v>40563800</v>
      </c>
      <c r="I46" s="334"/>
      <c r="J46" s="335"/>
      <c r="K46" s="336"/>
      <c r="L46" s="63">
        <f>SUM(L15:L45)</f>
        <v>40563800</v>
      </c>
    </row>
    <row r="47" spans="1:12" x14ac:dyDescent="0.25">
      <c r="A47" s="64"/>
      <c r="B47" s="38"/>
      <c r="C47" s="29"/>
      <c r="D47" s="30"/>
      <c r="E47" s="30"/>
      <c r="F47" s="30"/>
      <c r="G47" s="30"/>
      <c r="H47" s="31"/>
      <c r="I47" s="31"/>
      <c r="J47" s="31"/>
      <c r="K47" s="31"/>
      <c r="L47" s="32"/>
    </row>
    <row r="48" spans="1:12" x14ac:dyDescent="0.25">
      <c r="A48" s="48" t="s">
        <v>46</v>
      </c>
      <c r="B48" s="38"/>
      <c r="C48" s="29"/>
      <c r="D48" s="30"/>
      <c r="E48" s="30"/>
      <c r="F48" s="30"/>
      <c r="G48" s="30"/>
      <c r="H48" s="31"/>
      <c r="I48" s="31"/>
      <c r="J48" s="31"/>
      <c r="K48" s="31"/>
      <c r="L48" s="32"/>
    </row>
    <row r="49" spans="1:13" x14ac:dyDescent="0.25">
      <c r="A49" s="48"/>
      <c r="B49" s="30"/>
      <c r="C49" s="30"/>
      <c r="D49" s="30"/>
      <c r="E49" s="30"/>
      <c r="F49" s="30"/>
      <c r="G49" s="30"/>
      <c r="H49" s="31"/>
      <c r="I49" s="31"/>
      <c r="J49" s="31"/>
      <c r="K49" s="31"/>
      <c r="L49" s="32"/>
    </row>
    <row r="50" spans="1:13" x14ac:dyDescent="0.25">
      <c r="A50" s="357" t="s">
        <v>47</v>
      </c>
      <c r="B50" s="358"/>
      <c r="C50" s="363" t="s">
        <v>48</v>
      </c>
      <c r="D50" s="364"/>
      <c r="E50" s="357" t="s">
        <v>49</v>
      </c>
      <c r="F50" s="369"/>
      <c r="G50" s="369"/>
      <c r="H50" s="369"/>
      <c r="I50" s="369"/>
      <c r="J50" s="369"/>
      <c r="K50" s="358"/>
      <c r="L50" s="372" t="s">
        <v>50</v>
      </c>
    </row>
    <row r="51" spans="1:13" x14ac:dyDescent="0.25">
      <c r="A51" s="359"/>
      <c r="B51" s="360"/>
      <c r="C51" s="365"/>
      <c r="D51" s="366"/>
      <c r="E51" s="359"/>
      <c r="F51" s="370"/>
      <c r="G51" s="370"/>
      <c r="H51" s="370"/>
      <c r="I51" s="370"/>
      <c r="J51" s="370"/>
      <c r="K51" s="360"/>
      <c r="L51" s="373"/>
    </row>
    <row r="52" spans="1:13" x14ac:dyDescent="0.25">
      <c r="A52" s="361"/>
      <c r="B52" s="362"/>
      <c r="C52" s="367"/>
      <c r="D52" s="368"/>
      <c r="E52" s="361"/>
      <c r="F52" s="371"/>
      <c r="G52" s="371"/>
      <c r="H52" s="371"/>
      <c r="I52" s="371"/>
      <c r="J52" s="371"/>
      <c r="K52" s="362"/>
      <c r="L52" s="374"/>
    </row>
    <row r="53" spans="1:13" s="33" customFormat="1" x14ac:dyDescent="0.25">
      <c r="A53" s="352">
        <v>45841</v>
      </c>
      <c r="B53" s="353"/>
      <c r="C53" s="322">
        <v>2520</v>
      </c>
      <c r="D53" s="324"/>
      <c r="E53" s="408" t="s">
        <v>195</v>
      </c>
      <c r="F53" s="409"/>
      <c r="G53" s="409"/>
      <c r="H53" s="409"/>
      <c r="I53" s="409"/>
      <c r="J53" s="409"/>
      <c r="K53" s="410"/>
      <c r="L53" s="55">
        <v>6353400</v>
      </c>
    </row>
    <row r="54" spans="1:13" s="33" customFormat="1" x14ac:dyDescent="0.25">
      <c r="A54" s="352">
        <v>45855</v>
      </c>
      <c r="B54" s="353"/>
      <c r="C54" s="322">
        <v>2566</v>
      </c>
      <c r="D54" s="324"/>
      <c r="E54" s="408" t="s">
        <v>199</v>
      </c>
      <c r="F54" s="409"/>
      <c r="G54" s="409"/>
      <c r="H54" s="409"/>
      <c r="I54" s="409"/>
      <c r="J54" s="409"/>
      <c r="K54" s="410"/>
      <c r="L54" s="55">
        <v>10422000</v>
      </c>
    </row>
    <row r="55" spans="1:13" x14ac:dyDescent="0.25">
      <c r="A55" s="352">
        <v>45867</v>
      </c>
      <c r="B55" s="353"/>
      <c r="C55" s="322">
        <v>2588</v>
      </c>
      <c r="D55" s="324"/>
      <c r="E55" s="408" t="s">
        <v>198</v>
      </c>
      <c r="F55" s="409"/>
      <c r="G55" s="409"/>
      <c r="H55" s="409"/>
      <c r="I55" s="409"/>
      <c r="J55" s="409"/>
      <c r="K55" s="410"/>
      <c r="L55" s="55">
        <v>10446400</v>
      </c>
      <c r="M55" s="33"/>
    </row>
    <row r="56" spans="1:13" x14ac:dyDescent="0.25">
      <c r="A56" s="352">
        <v>45869</v>
      </c>
      <c r="B56" s="353"/>
      <c r="C56" s="322">
        <v>2597</v>
      </c>
      <c r="D56" s="324"/>
      <c r="E56" s="408" t="s">
        <v>202</v>
      </c>
      <c r="F56" s="409"/>
      <c r="G56" s="409"/>
      <c r="H56" s="409"/>
      <c r="I56" s="409"/>
      <c r="J56" s="409"/>
      <c r="K56" s="410"/>
      <c r="L56" s="55">
        <v>5590000</v>
      </c>
    </row>
    <row r="57" spans="1:13" x14ac:dyDescent="0.25">
      <c r="A57" s="352">
        <v>45869</v>
      </c>
      <c r="B57" s="353"/>
      <c r="C57" s="322">
        <v>2598</v>
      </c>
      <c r="D57" s="324"/>
      <c r="E57" s="354" t="s">
        <v>203</v>
      </c>
      <c r="F57" s="355"/>
      <c r="G57" s="355"/>
      <c r="H57" s="355"/>
      <c r="I57" s="355"/>
      <c r="J57" s="355"/>
      <c r="K57" s="356"/>
      <c r="L57" s="55">
        <v>7592000</v>
      </c>
    </row>
    <row r="58" spans="1:13" x14ac:dyDescent="0.25">
      <c r="A58" s="352">
        <v>45848</v>
      </c>
      <c r="B58" s="353"/>
      <c r="C58" s="322" t="s">
        <v>100</v>
      </c>
      <c r="D58" s="324"/>
      <c r="E58" s="408" t="s">
        <v>189</v>
      </c>
      <c r="F58" s="409"/>
      <c r="G58" s="409"/>
      <c r="H58" s="409"/>
      <c r="I58" s="409"/>
      <c r="J58" s="409"/>
      <c r="K58" s="410"/>
      <c r="L58" s="55">
        <v>100000</v>
      </c>
    </row>
    <row r="59" spans="1:13" x14ac:dyDescent="0.25">
      <c r="A59" s="352">
        <v>45863</v>
      </c>
      <c r="B59" s="353"/>
      <c r="C59" s="322" t="s">
        <v>100</v>
      </c>
      <c r="D59" s="324"/>
      <c r="E59" s="354" t="s">
        <v>183</v>
      </c>
      <c r="F59" s="355"/>
      <c r="G59" s="355"/>
      <c r="H59" s="355"/>
      <c r="I59" s="355"/>
      <c r="J59" s="355"/>
      <c r="K59" s="356"/>
      <c r="L59" s="55">
        <v>60000</v>
      </c>
    </row>
    <row r="60" spans="1:13" x14ac:dyDescent="0.25">
      <c r="A60" s="352"/>
      <c r="B60" s="353"/>
      <c r="C60" s="322"/>
      <c r="D60" s="324"/>
      <c r="E60" s="354"/>
      <c r="F60" s="355"/>
      <c r="G60" s="355"/>
      <c r="H60" s="355"/>
      <c r="I60" s="355"/>
      <c r="J60" s="355"/>
      <c r="K60" s="356"/>
      <c r="L60" s="55"/>
    </row>
    <row r="61" spans="1:13" x14ac:dyDescent="0.25">
      <c r="A61" s="352"/>
      <c r="B61" s="353"/>
      <c r="C61" s="322"/>
      <c r="D61" s="324"/>
      <c r="E61" s="354"/>
      <c r="F61" s="355"/>
      <c r="G61" s="355"/>
      <c r="H61" s="355"/>
      <c r="I61" s="355"/>
      <c r="J61" s="355"/>
      <c r="K61" s="356"/>
      <c r="L61" s="55"/>
    </row>
    <row r="62" spans="1:13" x14ac:dyDescent="0.25">
      <c r="A62" s="352"/>
      <c r="B62" s="353"/>
      <c r="C62" s="322"/>
      <c r="D62" s="324"/>
      <c r="E62" s="354"/>
      <c r="F62" s="355"/>
      <c r="G62" s="355"/>
      <c r="H62" s="355"/>
      <c r="I62" s="355"/>
      <c r="J62" s="355"/>
      <c r="K62" s="356"/>
      <c r="L62" s="55"/>
    </row>
    <row r="63" spans="1:13" x14ac:dyDescent="0.25">
      <c r="A63" s="334" t="s">
        <v>51</v>
      </c>
      <c r="B63" s="335"/>
      <c r="C63" s="335"/>
      <c r="D63" s="335"/>
      <c r="E63" s="335"/>
      <c r="F63" s="335"/>
      <c r="G63" s="335"/>
      <c r="H63" s="335"/>
      <c r="I63" s="335"/>
      <c r="J63" s="335"/>
      <c r="K63" s="336"/>
      <c r="L63" s="63">
        <f>SUM(L53:L62)</f>
        <v>40563800</v>
      </c>
    </row>
    <row r="64" spans="1:13" x14ac:dyDescent="0.25">
      <c r="A64" s="65"/>
      <c r="B64" s="66"/>
      <c r="C64" s="66"/>
      <c r="D64" s="66"/>
      <c r="E64" s="66"/>
      <c r="F64" s="66"/>
      <c r="G64" s="66"/>
      <c r="H64" s="31"/>
      <c r="I64" s="31"/>
      <c r="J64" s="31"/>
      <c r="K64" s="31"/>
      <c r="L64" s="31"/>
    </row>
    <row r="65" spans="1:13" x14ac:dyDescent="0.25">
      <c r="A65" s="48" t="s">
        <v>52</v>
      </c>
      <c r="B65" s="30"/>
      <c r="C65" s="30"/>
      <c r="D65" s="30"/>
      <c r="E65" s="30"/>
      <c r="F65" s="30"/>
      <c r="G65" s="30"/>
      <c r="H65" s="31"/>
      <c r="I65" s="31"/>
      <c r="J65" s="31"/>
      <c r="K65" s="31"/>
      <c r="L65" s="31"/>
    </row>
    <row r="66" spans="1:13" x14ac:dyDescent="0.25">
      <c r="A66" s="44"/>
      <c r="B66" s="45"/>
      <c r="C66" s="45"/>
      <c r="D66" s="45"/>
      <c r="E66" s="45"/>
      <c r="F66" s="45"/>
      <c r="G66" s="45"/>
      <c r="H66" s="31"/>
      <c r="I66" s="31"/>
      <c r="J66" s="46"/>
      <c r="K66" s="46"/>
      <c r="L66" s="31"/>
    </row>
    <row r="67" spans="1:13" x14ac:dyDescent="0.25">
      <c r="A67" s="337" t="s">
        <v>53</v>
      </c>
      <c r="B67" s="338"/>
      <c r="C67" s="337" t="s">
        <v>54</v>
      </c>
      <c r="D67" s="338"/>
      <c r="E67" s="119" t="s">
        <v>55</v>
      </c>
      <c r="F67" s="68" t="s">
        <v>37</v>
      </c>
      <c r="G67" s="339"/>
      <c r="H67" s="340"/>
      <c r="I67" s="340"/>
      <c r="J67" s="340"/>
      <c r="K67" s="341"/>
      <c r="L67" s="348" t="s">
        <v>56</v>
      </c>
    </row>
    <row r="68" spans="1:13" x14ac:dyDescent="0.25">
      <c r="A68" s="316"/>
      <c r="B68" s="317"/>
      <c r="C68" s="350" t="s">
        <v>57</v>
      </c>
      <c r="D68" s="351"/>
      <c r="E68" s="69"/>
      <c r="F68" s="44"/>
      <c r="G68" s="342"/>
      <c r="H68" s="343"/>
      <c r="I68" s="343"/>
      <c r="J68" s="343"/>
      <c r="K68" s="344"/>
      <c r="L68" s="349"/>
    </row>
    <row r="69" spans="1:13" x14ac:dyDescent="0.25">
      <c r="A69" s="310"/>
      <c r="B69" s="312"/>
      <c r="C69" s="310"/>
      <c r="D69" s="312"/>
      <c r="E69" s="70"/>
      <c r="F69" s="122"/>
      <c r="G69" s="342"/>
      <c r="H69" s="343"/>
      <c r="I69" s="343"/>
      <c r="J69" s="343"/>
      <c r="K69" s="344"/>
      <c r="L69" s="55"/>
    </row>
    <row r="70" spans="1:13" x14ac:dyDescent="0.25">
      <c r="A70" s="310"/>
      <c r="B70" s="312"/>
      <c r="C70" s="310"/>
      <c r="D70" s="312"/>
      <c r="E70" s="70"/>
      <c r="F70" s="64"/>
      <c r="G70" s="345"/>
      <c r="H70" s="346"/>
      <c r="I70" s="346"/>
      <c r="J70" s="346"/>
      <c r="K70" s="347"/>
      <c r="L70" s="72"/>
    </row>
    <row r="71" spans="1:13" x14ac:dyDescent="0.25">
      <c r="A71" s="322" t="s">
        <v>41</v>
      </c>
      <c r="B71" s="323"/>
      <c r="C71" s="323"/>
      <c r="D71" s="323"/>
      <c r="E71" s="323"/>
      <c r="F71" s="323"/>
      <c r="G71" s="323"/>
      <c r="H71" s="323"/>
      <c r="I71" s="323"/>
      <c r="J71" s="323"/>
      <c r="K71" s="324"/>
      <c r="L71" s="73">
        <f>SUM(L69:L70)</f>
        <v>0</v>
      </c>
    </row>
    <row r="72" spans="1:13" x14ac:dyDescent="0.25">
      <c r="A72" s="325"/>
      <c r="B72" s="326"/>
      <c r="C72" s="326"/>
      <c r="D72" s="326"/>
      <c r="E72" s="326"/>
      <c r="F72" s="326"/>
      <c r="G72" s="326"/>
      <c r="H72" s="326"/>
      <c r="I72" s="326"/>
      <c r="J72" s="326"/>
      <c r="K72" s="326"/>
      <c r="L72" s="326"/>
    </row>
    <row r="73" spans="1:13" x14ac:dyDescent="0.25">
      <c r="A73" s="327" t="s">
        <v>58</v>
      </c>
      <c r="B73" s="328"/>
      <c r="C73" s="328"/>
      <c r="D73" s="328"/>
      <c r="E73" s="328"/>
      <c r="F73" s="328"/>
      <c r="G73" s="328"/>
      <c r="H73" s="328"/>
      <c r="I73" s="328"/>
      <c r="J73" s="329"/>
      <c r="K73" s="330">
        <f>K9+L46-L63-L71</f>
        <v>0</v>
      </c>
      <c r="L73" s="330"/>
    </row>
    <row r="74" spans="1:13" x14ac:dyDescent="0.25">
      <c r="A74" s="331"/>
      <c r="B74" s="332"/>
      <c r="C74" s="332"/>
      <c r="D74" s="332"/>
      <c r="E74" s="332"/>
      <c r="F74" s="332"/>
      <c r="G74" s="332"/>
      <c r="H74" s="332"/>
      <c r="I74" s="332"/>
      <c r="J74" s="332"/>
      <c r="K74" s="332"/>
      <c r="L74" s="333"/>
    </row>
    <row r="75" spans="1:13" x14ac:dyDescent="0.25">
      <c r="A75" s="305" t="s">
        <v>59</v>
      </c>
      <c r="B75" s="305"/>
      <c r="C75" s="305"/>
      <c r="D75" s="305"/>
      <c r="E75" s="305"/>
      <c r="F75" s="305" t="s">
        <v>60</v>
      </c>
      <c r="G75" s="305"/>
      <c r="H75" s="305"/>
      <c r="I75" s="306"/>
      <c r="J75" s="309" t="s">
        <v>61</v>
      </c>
      <c r="K75" s="309"/>
      <c r="L75" s="309"/>
    </row>
    <row r="76" spans="1:13" x14ac:dyDescent="0.25">
      <c r="A76" s="310"/>
      <c r="B76" s="311"/>
      <c r="C76" s="311"/>
      <c r="D76" s="311"/>
      <c r="E76" s="312"/>
      <c r="F76" s="310"/>
      <c r="G76" s="311"/>
      <c r="H76" s="312"/>
      <c r="I76" s="307"/>
      <c r="J76" s="313"/>
      <c r="K76" s="314"/>
      <c r="L76" s="315"/>
      <c r="M76" s="74"/>
    </row>
    <row r="77" spans="1:13" x14ac:dyDescent="0.25">
      <c r="A77" s="316"/>
      <c r="B77" s="317"/>
      <c r="C77" s="317"/>
      <c r="D77" s="317"/>
      <c r="E77" s="318"/>
      <c r="F77" s="316"/>
      <c r="G77" s="317"/>
      <c r="H77" s="318"/>
      <c r="I77" s="308"/>
      <c r="J77" s="319"/>
      <c r="K77" s="320"/>
      <c r="L77" s="321"/>
    </row>
    <row r="78" spans="1:13" x14ac:dyDescent="0.25">
      <c r="A78" s="33"/>
      <c r="B78" s="33"/>
      <c r="C78" s="33"/>
      <c r="D78" s="33"/>
      <c r="E78" s="33"/>
      <c r="F78" s="33"/>
      <c r="G78" s="33"/>
      <c r="H78" s="75"/>
      <c r="I78" s="75"/>
      <c r="J78" s="75"/>
      <c r="K78" s="75"/>
      <c r="L78" s="75"/>
    </row>
  </sheetData>
  <mergeCells count="167">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L50:L52"/>
    <mergeCell ref="A31:B31"/>
    <mergeCell ref="C31:D31"/>
    <mergeCell ref="E31:F31"/>
    <mergeCell ref="A42:B42"/>
    <mergeCell ref="C42:D42"/>
    <mergeCell ref="E42:F42"/>
    <mergeCell ref="A29:B29"/>
    <mergeCell ref="C29:D29"/>
    <mergeCell ref="E29:F29"/>
    <mergeCell ref="A30:B30"/>
    <mergeCell ref="C30:D30"/>
    <mergeCell ref="E30:F30"/>
    <mergeCell ref="A33:B33"/>
    <mergeCell ref="A32:B32"/>
    <mergeCell ref="A34:B34"/>
    <mergeCell ref="A35:B35"/>
    <mergeCell ref="A36:B36"/>
    <mergeCell ref="A37:B37"/>
    <mergeCell ref="A38:B38"/>
    <mergeCell ref="A39:B39"/>
    <mergeCell ref="A40:B40"/>
    <mergeCell ref="A41:B41"/>
    <mergeCell ref="C32:D32"/>
    <mergeCell ref="A53:B53"/>
    <mergeCell ref="C53:D53"/>
    <mergeCell ref="E53:K53"/>
    <mergeCell ref="A54:B54"/>
    <mergeCell ref="C54:D54"/>
    <mergeCell ref="E54:K54"/>
    <mergeCell ref="A46:B46"/>
    <mergeCell ref="I46:K46"/>
    <mergeCell ref="A50:B52"/>
    <mergeCell ref="C50:D52"/>
    <mergeCell ref="E50:K52"/>
    <mergeCell ref="A57:B57"/>
    <mergeCell ref="C57:D57"/>
    <mergeCell ref="E57:K57"/>
    <mergeCell ref="A58:B58"/>
    <mergeCell ref="C58:D58"/>
    <mergeCell ref="E58:K58"/>
    <mergeCell ref="A55:B55"/>
    <mergeCell ref="C55:D55"/>
    <mergeCell ref="E55:K55"/>
    <mergeCell ref="A56:B56"/>
    <mergeCell ref="C56:D56"/>
    <mergeCell ref="E56:K56"/>
    <mergeCell ref="A61:B61"/>
    <mergeCell ref="C61:D61"/>
    <mergeCell ref="E61:K61"/>
    <mergeCell ref="A62:B62"/>
    <mergeCell ref="C62:D62"/>
    <mergeCell ref="E62:K62"/>
    <mergeCell ref="A59:B59"/>
    <mergeCell ref="C59:D59"/>
    <mergeCell ref="E59:K59"/>
    <mergeCell ref="A60:B60"/>
    <mergeCell ref="C60:D60"/>
    <mergeCell ref="E60:K60"/>
    <mergeCell ref="C70:D70"/>
    <mergeCell ref="A71:K71"/>
    <mergeCell ref="A72:L72"/>
    <mergeCell ref="A73:J73"/>
    <mergeCell ref="K73:L73"/>
    <mergeCell ref="A74:L74"/>
    <mergeCell ref="A63:K63"/>
    <mergeCell ref="A67:B67"/>
    <mergeCell ref="C67:D67"/>
    <mergeCell ref="G67:K70"/>
    <mergeCell ref="L67:L68"/>
    <mergeCell ref="A68:B68"/>
    <mergeCell ref="C68:D68"/>
    <mergeCell ref="A69:B69"/>
    <mergeCell ref="C69:D69"/>
    <mergeCell ref="A70:B70"/>
    <mergeCell ref="A75:E75"/>
    <mergeCell ref="F75:H75"/>
    <mergeCell ref="I75:I77"/>
    <mergeCell ref="J75:L75"/>
    <mergeCell ref="A76:E76"/>
    <mergeCell ref="F76:H76"/>
    <mergeCell ref="J76:L76"/>
    <mergeCell ref="A77:E77"/>
    <mergeCell ref="F77:H77"/>
    <mergeCell ref="J77:L77"/>
    <mergeCell ref="C33:D33"/>
    <mergeCell ref="C34:D34"/>
    <mergeCell ref="C35:D35"/>
    <mergeCell ref="C36:D36"/>
    <mergeCell ref="C37:D37"/>
    <mergeCell ref="C38:D38"/>
    <mergeCell ref="C39:D39"/>
    <mergeCell ref="C40:D40"/>
    <mergeCell ref="C41:D41"/>
    <mergeCell ref="E32:F32"/>
    <mergeCell ref="E33:F33"/>
    <mergeCell ref="E34:F34"/>
    <mergeCell ref="E35:F35"/>
    <mergeCell ref="E36:F36"/>
    <mergeCell ref="E37:F37"/>
    <mergeCell ref="E39:F39"/>
    <mergeCell ref="E40:F40"/>
    <mergeCell ref="E41:F41"/>
    <mergeCell ref="E38:F38"/>
    <mergeCell ref="A43:B43"/>
    <mergeCell ref="A44:B44"/>
    <mergeCell ref="A45:B45"/>
    <mergeCell ref="C43:D43"/>
    <mergeCell ref="C44:D44"/>
    <mergeCell ref="C45:D45"/>
    <mergeCell ref="E43:F43"/>
    <mergeCell ref="E44:F44"/>
    <mergeCell ref="E45:F45"/>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6"/>
  <sheetViews>
    <sheetView topLeftCell="A41" workbookViewId="0">
      <selection activeCell="A48" sqref="A48:K48"/>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27" t="s">
        <v>27</v>
      </c>
      <c r="B6" s="132" t="s">
        <v>28</v>
      </c>
      <c r="C6" s="132" t="s">
        <v>29</v>
      </c>
      <c r="D6" s="30"/>
      <c r="E6" s="30"/>
      <c r="F6" s="30"/>
      <c r="G6" s="30"/>
      <c r="H6" s="31"/>
      <c r="I6" s="31"/>
      <c r="J6" s="31"/>
      <c r="K6" s="31"/>
      <c r="L6" s="32"/>
    </row>
    <row r="7" spans="1:12" x14ac:dyDescent="0.25">
      <c r="A7" s="41" t="s">
        <v>122</v>
      </c>
      <c r="B7" s="42" t="s">
        <v>215</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30" t="s">
        <v>40</v>
      </c>
      <c r="K13" s="130" t="s">
        <v>40</v>
      </c>
      <c r="L13" s="130" t="s">
        <v>41</v>
      </c>
    </row>
    <row r="14" spans="1:12" x14ac:dyDescent="0.25">
      <c r="A14" s="396"/>
      <c r="B14" s="397"/>
      <c r="C14" s="396"/>
      <c r="D14" s="397"/>
      <c r="E14" s="361"/>
      <c r="F14" s="362"/>
      <c r="G14" s="399"/>
      <c r="H14" s="399"/>
      <c r="I14" s="399"/>
      <c r="J14" s="131" t="s">
        <v>42</v>
      </c>
      <c r="K14" s="131" t="s">
        <v>43</v>
      </c>
      <c r="L14" s="131" t="s">
        <v>44</v>
      </c>
    </row>
    <row r="15" spans="1:12" x14ac:dyDescent="0.25">
      <c r="A15" s="385">
        <v>1</v>
      </c>
      <c r="B15" s="384"/>
      <c r="C15" s="386" t="s">
        <v>80</v>
      </c>
      <c r="D15" s="386"/>
      <c r="E15" s="383" t="s">
        <v>184</v>
      </c>
      <c r="F15" s="383"/>
      <c r="G15" s="59" t="s">
        <v>26</v>
      </c>
      <c r="H15" s="55">
        <v>782600</v>
      </c>
      <c r="I15" s="56"/>
      <c r="J15" s="57"/>
      <c r="K15" s="57"/>
      <c r="L15" s="58">
        <f t="shared" ref="L15:L37" si="0">H15</f>
        <v>782600</v>
      </c>
    </row>
    <row r="16" spans="1:12" x14ac:dyDescent="0.25">
      <c r="A16" s="385">
        <v>1</v>
      </c>
      <c r="B16" s="384"/>
      <c r="C16" s="386" t="s">
        <v>206</v>
      </c>
      <c r="D16" s="386"/>
      <c r="E16" s="383" t="s">
        <v>72</v>
      </c>
      <c r="F16" s="383"/>
      <c r="G16" s="59" t="s">
        <v>26</v>
      </c>
      <c r="H16" s="55">
        <v>672300</v>
      </c>
      <c r="I16" s="56"/>
      <c r="J16" s="57"/>
      <c r="K16" s="57"/>
      <c r="L16" s="58">
        <f t="shared" si="0"/>
        <v>672300</v>
      </c>
    </row>
    <row r="17" spans="1:12" x14ac:dyDescent="0.25">
      <c r="A17" s="387" t="s">
        <v>77</v>
      </c>
      <c r="B17" s="386"/>
      <c r="C17" s="384">
        <v>2</v>
      </c>
      <c r="D17" s="384"/>
      <c r="E17" s="388" t="s">
        <v>180</v>
      </c>
      <c r="F17" s="389"/>
      <c r="G17" s="129" t="s">
        <v>26</v>
      </c>
      <c r="H17" s="60">
        <v>600000</v>
      </c>
      <c r="I17" s="56"/>
      <c r="J17" s="57"/>
      <c r="K17" s="57"/>
      <c r="L17" s="58">
        <f t="shared" si="0"/>
        <v>600000</v>
      </c>
    </row>
    <row r="18" spans="1:12" x14ac:dyDescent="0.25">
      <c r="A18" s="387" t="s">
        <v>77</v>
      </c>
      <c r="B18" s="386"/>
      <c r="C18" s="384">
        <v>3</v>
      </c>
      <c r="D18" s="384"/>
      <c r="E18" s="388" t="s">
        <v>132</v>
      </c>
      <c r="F18" s="389"/>
      <c r="G18" s="129" t="s">
        <v>26</v>
      </c>
      <c r="H18" s="55">
        <v>564700</v>
      </c>
      <c r="I18" s="56"/>
      <c r="J18" s="57"/>
      <c r="K18" s="57"/>
      <c r="L18" s="58">
        <f t="shared" si="0"/>
        <v>564700</v>
      </c>
    </row>
    <row r="19" spans="1:12" x14ac:dyDescent="0.25">
      <c r="A19" s="387" t="s">
        <v>77</v>
      </c>
      <c r="B19" s="386"/>
      <c r="C19" s="384">
        <v>1</v>
      </c>
      <c r="D19" s="384"/>
      <c r="E19" s="388" t="s">
        <v>207</v>
      </c>
      <c r="F19" s="389"/>
      <c r="G19" s="129" t="s">
        <v>26</v>
      </c>
      <c r="H19" s="55">
        <v>901600</v>
      </c>
      <c r="I19" s="56"/>
      <c r="J19" s="57"/>
      <c r="K19" s="57"/>
      <c r="L19" s="58">
        <f t="shared" si="0"/>
        <v>901600</v>
      </c>
    </row>
    <row r="20" spans="1:12" x14ac:dyDescent="0.25">
      <c r="A20" s="387" t="s">
        <v>77</v>
      </c>
      <c r="B20" s="386"/>
      <c r="C20" s="322">
        <v>3</v>
      </c>
      <c r="D20" s="324"/>
      <c r="E20" s="392" t="s">
        <v>136</v>
      </c>
      <c r="F20" s="393"/>
      <c r="G20" s="129" t="s">
        <v>26</v>
      </c>
      <c r="H20" s="55">
        <v>656200</v>
      </c>
      <c r="I20" s="56"/>
      <c r="J20" s="57"/>
      <c r="K20" s="57"/>
      <c r="L20" s="58">
        <f t="shared" si="0"/>
        <v>656200</v>
      </c>
    </row>
    <row r="21" spans="1:12" x14ac:dyDescent="0.25">
      <c r="A21" s="385">
        <v>1</v>
      </c>
      <c r="B21" s="384"/>
      <c r="C21" s="386" t="s">
        <v>80</v>
      </c>
      <c r="D21" s="386"/>
      <c r="E21" s="383" t="s">
        <v>161</v>
      </c>
      <c r="F21" s="383"/>
      <c r="G21" s="59" t="s">
        <v>26</v>
      </c>
      <c r="H21" s="55">
        <v>317353</v>
      </c>
      <c r="I21" s="56"/>
      <c r="J21" s="57"/>
      <c r="K21" s="57"/>
      <c r="L21" s="58">
        <f t="shared" si="0"/>
        <v>317353</v>
      </c>
    </row>
    <row r="22" spans="1:12" x14ac:dyDescent="0.25">
      <c r="A22" s="375">
        <v>1</v>
      </c>
      <c r="B22" s="376"/>
      <c r="C22" s="322">
        <v>4</v>
      </c>
      <c r="D22" s="324"/>
      <c r="E22" s="383" t="s">
        <v>107</v>
      </c>
      <c r="F22" s="383"/>
      <c r="G22" s="59" t="s">
        <v>26</v>
      </c>
      <c r="H22" s="55">
        <v>638089</v>
      </c>
      <c r="I22" s="56"/>
      <c r="J22" s="57"/>
      <c r="K22" s="57"/>
      <c r="L22" s="58">
        <f t="shared" si="0"/>
        <v>638089</v>
      </c>
    </row>
    <row r="23" spans="1:12" x14ac:dyDescent="0.25">
      <c r="A23" s="375">
        <v>1</v>
      </c>
      <c r="B23" s="376"/>
      <c r="C23" s="384">
        <v>2</v>
      </c>
      <c r="D23" s="384"/>
      <c r="E23" s="383" t="s">
        <v>160</v>
      </c>
      <c r="F23" s="383"/>
      <c r="G23" s="59" t="s">
        <v>26</v>
      </c>
      <c r="H23" s="55">
        <v>544426</v>
      </c>
      <c r="I23" s="56"/>
      <c r="J23" s="57"/>
      <c r="K23" s="57"/>
      <c r="L23" s="58">
        <f t="shared" si="0"/>
        <v>544426</v>
      </c>
    </row>
    <row r="24" spans="1:12" x14ac:dyDescent="0.25">
      <c r="A24" s="375">
        <v>4</v>
      </c>
      <c r="B24" s="376"/>
      <c r="C24" s="322" t="s">
        <v>208</v>
      </c>
      <c r="D24" s="324"/>
      <c r="E24" s="392" t="s">
        <v>144</v>
      </c>
      <c r="F24" s="393"/>
      <c r="G24" s="59" t="s">
        <v>26</v>
      </c>
      <c r="H24" s="55">
        <v>3338800</v>
      </c>
      <c r="I24" s="56"/>
      <c r="J24" s="57"/>
      <c r="K24" s="57"/>
      <c r="L24" s="58">
        <f t="shared" si="0"/>
        <v>3338800</v>
      </c>
    </row>
    <row r="25" spans="1:12" x14ac:dyDescent="0.25">
      <c r="A25" s="375">
        <v>1</v>
      </c>
      <c r="B25" s="376"/>
      <c r="C25" s="379" t="s">
        <v>158</v>
      </c>
      <c r="D25" s="380"/>
      <c r="E25" s="381" t="s">
        <v>89</v>
      </c>
      <c r="F25" s="382"/>
      <c r="G25" s="59" t="s">
        <v>26</v>
      </c>
      <c r="H25" s="55">
        <v>1060500</v>
      </c>
      <c r="I25" s="56"/>
      <c r="J25" s="57"/>
      <c r="K25" s="57"/>
      <c r="L25" s="58">
        <f t="shared" si="0"/>
        <v>1060500</v>
      </c>
    </row>
    <row r="26" spans="1:12" x14ac:dyDescent="0.25">
      <c r="A26" s="375">
        <v>1</v>
      </c>
      <c r="B26" s="376"/>
      <c r="C26" s="379" t="s">
        <v>77</v>
      </c>
      <c r="D26" s="380"/>
      <c r="E26" s="381" t="s">
        <v>210</v>
      </c>
      <c r="F26" s="382"/>
      <c r="G26" s="59" t="s">
        <v>26</v>
      </c>
      <c r="H26" s="55">
        <v>792000</v>
      </c>
      <c r="I26" s="56"/>
      <c r="J26" s="57"/>
      <c r="K26" s="57"/>
      <c r="L26" s="58">
        <f t="shared" si="0"/>
        <v>792000</v>
      </c>
    </row>
    <row r="27" spans="1:12" x14ac:dyDescent="0.25">
      <c r="A27" s="375">
        <v>1</v>
      </c>
      <c r="B27" s="376"/>
      <c r="C27" s="322">
        <v>4</v>
      </c>
      <c r="D27" s="324"/>
      <c r="E27" s="381" t="s">
        <v>134</v>
      </c>
      <c r="F27" s="382"/>
      <c r="G27" s="129" t="s">
        <v>26</v>
      </c>
      <c r="H27" s="60">
        <v>317700</v>
      </c>
      <c r="I27" s="56"/>
      <c r="J27" s="57"/>
      <c r="K27" s="57"/>
      <c r="L27" s="58">
        <f t="shared" si="0"/>
        <v>317700</v>
      </c>
    </row>
    <row r="28" spans="1:12" x14ac:dyDescent="0.25">
      <c r="A28" s="375">
        <v>1</v>
      </c>
      <c r="B28" s="376"/>
      <c r="C28" s="322">
        <v>5</v>
      </c>
      <c r="D28" s="324"/>
      <c r="E28" s="383" t="s">
        <v>86</v>
      </c>
      <c r="F28" s="383"/>
      <c r="G28" s="129" t="s">
        <v>26</v>
      </c>
      <c r="H28" s="60">
        <v>576877</v>
      </c>
      <c r="I28" s="56"/>
      <c r="J28" s="57"/>
      <c r="K28" s="57"/>
      <c r="L28" s="58">
        <f t="shared" si="0"/>
        <v>576877</v>
      </c>
    </row>
    <row r="29" spans="1:12" x14ac:dyDescent="0.25">
      <c r="A29" s="375">
        <v>1</v>
      </c>
      <c r="B29" s="376"/>
      <c r="C29" s="379" t="s">
        <v>77</v>
      </c>
      <c r="D29" s="380"/>
      <c r="E29" s="377" t="s">
        <v>211</v>
      </c>
      <c r="F29" s="378"/>
      <c r="G29" s="129" t="s">
        <v>26</v>
      </c>
      <c r="H29" s="60">
        <v>790200</v>
      </c>
      <c r="I29" s="56"/>
      <c r="J29" s="57"/>
      <c r="K29" s="57"/>
      <c r="L29" s="58">
        <f t="shared" si="0"/>
        <v>790200</v>
      </c>
    </row>
    <row r="30" spans="1:12" x14ac:dyDescent="0.25">
      <c r="A30" s="375">
        <v>1</v>
      </c>
      <c r="B30" s="376"/>
      <c r="C30" s="375">
        <v>4</v>
      </c>
      <c r="D30" s="376"/>
      <c r="E30" s="381" t="s">
        <v>182</v>
      </c>
      <c r="F30" s="382"/>
      <c r="G30" s="133" t="s">
        <v>26</v>
      </c>
      <c r="H30" s="60">
        <v>418100</v>
      </c>
      <c r="I30" s="56"/>
      <c r="J30" s="57"/>
      <c r="K30" s="57"/>
      <c r="L30" s="58">
        <f t="shared" si="0"/>
        <v>418100</v>
      </c>
    </row>
    <row r="31" spans="1:12" x14ac:dyDescent="0.25">
      <c r="A31" s="375">
        <v>1</v>
      </c>
      <c r="B31" s="376"/>
      <c r="C31" s="375">
        <v>3</v>
      </c>
      <c r="D31" s="376"/>
      <c r="E31" s="381" t="s">
        <v>138</v>
      </c>
      <c r="F31" s="382"/>
      <c r="G31" s="133" t="s">
        <v>26</v>
      </c>
      <c r="H31" s="60">
        <v>593405</v>
      </c>
      <c r="I31" s="56"/>
      <c r="J31" s="57"/>
      <c r="K31" s="57"/>
      <c r="L31" s="58">
        <f t="shared" si="0"/>
        <v>593405</v>
      </c>
    </row>
    <row r="32" spans="1:12" x14ac:dyDescent="0.25">
      <c r="A32" s="375">
        <v>1</v>
      </c>
      <c r="B32" s="376"/>
      <c r="C32" s="375">
        <v>4</v>
      </c>
      <c r="D32" s="376"/>
      <c r="E32" s="381" t="s">
        <v>138</v>
      </c>
      <c r="F32" s="382"/>
      <c r="G32" s="133" t="s">
        <v>26</v>
      </c>
      <c r="H32" s="60">
        <v>581200</v>
      </c>
      <c r="I32" s="56"/>
      <c r="J32" s="57"/>
      <c r="K32" s="57"/>
      <c r="L32" s="58">
        <f t="shared" si="0"/>
        <v>581200</v>
      </c>
    </row>
    <row r="33" spans="1:13" x14ac:dyDescent="0.25">
      <c r="A33" s="375">
        <v>1</v>
      </c>
      <c r="B33" s="376"/>
      <c r="C33" s="375">
        <v>5</v>
      </c>
      <c r="D33" s="376"/>
      <c r="E33" s="381" t="s">
        <v>103</v>
      </c>
      <c r="F33" s="382"/>
      <c r="G33" s="133" t="s">
        <v>26</v>
      </c>
      <c r="H33" s="60">
        <v>1661600</v>
      </c>
      <c r="I33" s="56"/>
      <c r="J33" s="57"/>
      <c r="K33" s="57"/>
      <c r="L33" s="58">
        <f t="shared" si="0"/>
        <v>1661600</v>
      </c>
    </row>
    <row r="34" spans="1:13" x14ac:dyDescent="0.25">
      <c r="A34" s="375">
        <v>1</v>
      </c>
      <c r="B34" s="376"/>
      <c r="C34" s="375">
        <v>4</v>
      </c>
      <c r="D34" s="376"/>
      <c r="E34" s="381" t="s">
        <v>133</v>
      </c>
      <c r="F34" s="382"/>
      <c r="G34" s="133" t="s">
        <v>26</v>
      </c>
      <c r="H34" s="60">
        <v>393500</v>
      </c>
      <c r="I34" s="56"/>
      <c r="J34" s="57"/>
      <c r="K34" s="57"/>
      <c r="L34" s="58">
        <f t="shared" si="0"/>
        <v>393500</v>
      </c>
    </row>
    <row r="35" spans="1:13" x14ac:dyDescent="0.25">
      <c r="A35" s="375">
        <v>1</v>
      </c>
      <c r="B35" s="376"/>
      <c r="C35" s="375">
        <v>2</v>
      </c>
      <c r="D35" s="376"/>
      <c r="E35" s="381" t="s">
        <v>192</v>
      </c>
      <c r="F35" s="382"/>
      <c r="G35" s="133" t="s">
        <v>26</v>
      </c>
      <c r="H35" s="60">
        <v>425600</v>
      </c>
      <c r="I35" s="56"/>
      <c r="J35" s="57"/>
      <c r="K35" s="57"/>
      <c r="L35" s="58">
        <f t="shared" si="0"/>
        <v>425600</v>
      </c>
    </row>
    <row r="36" spans="1:13" x14ac:dyDescent="0.25">
      <c r="A36" s="375">
        <v>1</v>
      </c>
      <c r="B36" s="376"/>
      <c r="C36" s="375">
        <v>4</v>
      </c>
      <c r="D36" s="376"/>
      <c r="E36" s="381" t="s">
        <v>135</v>
      </c>
      <c r="F36" s="382"/>
      <c r="G36" s="133" t="s">
        <v>26</v>
      </c>
      <c r="H36" s="60">
        <v>920600</v>
      </c>
      <c r="I36" s="56"/>
      <c r="J36" s="57"/>
      <c r="K36" s="57"/>
      <c r="L36" s="58">
        <f t="shared" si="0"/>
        <v>920600</v>
      </c>
    </row>
    <row r="37" spans="1:13" x14ac:dyDescent="0.25">
      <c r="A37" s="375"/>
      <c r="B37" s="376"/>
      <c r="C37" s="375"/>
      <c r="D37" s="376"/>
      <c r="E37" s="381"/>
      <c r="F37" s="382"/>
      <c r="G37" s="129"/>
      <c r="H37" s="60"/>
      <c r="I37" s="56"/>
      <c r="J37" s="57"/>
      <c r="K37" s="57"/>
      <c r="L37" s="58">
        <f t="shared" si="0"/>
        <v>0</v>
      </c>
    </row>
    <row r="38" spans="1:13" x14ac:dyDescent="0.25">
      <c r="A38" s="322"/>
      <c r="B38" s="324"/>
      <c r="C38" s="61" t="s">
        <v>45</v>
      </c>
      <c r="D38" s="62"/>
      <c r="E38" s="62"/>
      <c r="F38" s="62"/>
      <c r="G38" s="62"/>
      <c r="H38" s="63">
        <f>SUM(H15:H37)</f>
        <v>17547350</v>
      </c>
      <c r="I38" s="334"/>
      <c r="J38" s="335"/>
      <c r="K38" s="336"/>
      <c r="L38" s="63">
        <f>SUM(L15:L37)</f>
        <v>17547350</v>
      </c>
    </row>
    <row r="39" spans="1:13" x14ac:dyDescent="0.25">
      <c r="A39" s="64"/>
      <c r="B39" s="38"/>
      <c r="C39" s="29"/>
      <c r="D39" s="30"/>
      <c r="E39" s="30"/>
      <c r="F39" s="30"/>
      <c r="G39" s="30"/>
      <c r="H39" s="31"/>
      <c r="I39" s="31"/>
      <c r="J39" s="31"/>
      <c r="K39" s="31"/>
      <c r="L39" s="32"/>
    </row>
    <row r="40" spans="1:13" x14ac:dyDescent="0.25">
      <c r="A40" s="48" t="s">
        <v>46</v>
      </c>
      <c r="B40" s="38"/>
      <c r="C40" s="29"/>
      <c r="D40" s="30"/>
      <c r="E40" s="30"/>
      <c r="F40" s="30"/>
      <c r="G40" s="30"/>
      <c r="H40" s="31"/>
      <c r="I40" s="31"/>
      <c r="J40" s="31"/>
      <c r="K40" s="31"/>
      <c r="L40" s="32"/>
    </row>
    <row r="41" spans="1:13" x14ac:dyDescent="0.25">
      <c r="A41" s="48"/>
      <c r="B41" s="30"/>
      <c r="C41" s="30"/>
      <c r="D41" s="30"/>
      <c r="E41" s="30"/>
      <c r="F41" s="30"/>
      <c r="G41" s="30"/>
      <c r="H41" s="31"/>
      <c r="I41" s="31"/>
      <c r="J41" s="31"/>
      <c r="K41" s="31"/>
      <c r="L41" s="32"/>
    </row>
    <row r="42" spans="1:13" x14ac:dyDescent="0.25">
      <c r="A42" s="357" t="s">
        <v>47</v>
      </c>
      <c r="B42" s="358"/>
      <c r="C42" s="363" t="s">
        <v>48</v>
      </c>
      <c r="D42" s="364"/>
      <c r="E42" s="357" t="s">
        <v>49</v>
      </c>
      <c r="F42" s="369"/>
      <c r="G42" s="369"/>
      <c r="H42" s="369"/>
      <c r="I42" s="369"/>
      <c r="J42" s="369"/>
      <c r="K42" s="358"/>
      <c r="L42" s="372" t="s">
        <v>50</v>
      </c>
    </row>
    <row r="43" spans="1:13" x14ac:dyDescent="0.25">
      <c r="A43" s="359"/>
      <c r="B43" s="360"/>
      <c r="C43" s="365"/>
      <c r="D43" s="366"/>
      <c r="E43" s="359"/>
      <c r="F43" s="370"/>
      <c r="G43" s="370"/>
      <c r="H43" s="370"/>
      <c r="I43" s="370"/>
      <c r="J43" s="370"/>
      <c r="K43" s="360"/>
      <c r="L43" s="373"/>
    </row>
    <row r="44" spans="1:13" x14ac:dyDescent="0.25">
      <c r="A44" s="361"/>
      <c r="B44" s="362"/>
      <c r="C44" s="367"/>
      <c r="D44" s="368"/>
      <c r="E44" s="361"/>
      <c r="F44" s="371"/>
      <c r="G44" s="371"/>
      <c r="H44" s="371"/>
      <c r="I44" s="371"/>
      <c r="J44" s="371"/>
      <c r="K44" s="362"/>
      <c r="L44" s="374"/>
    </row>
    <row r="45" spans="1:13" s="33" customFormat="1" x14ac:dyDescent="0.25">
      <c r="A45" s="352">
        <v>45877</v>
      </c>
      <c r="B45" s="353"/>
      <c r="C45" s="322" t="s">
        <v>100</v>
      </c>
      <c r="D45" s="324"/>
      <c r="E45" s="354" t="s">
        <v>209</v>
      </c>
      <c r="F45" s="355"/>
      <c r="G45" s="355"/>
      <c r="H45" s="355"/>
      <c r="I45" s="355"/>
      <c r="J45" s="355"/>
      <c r="K45" s="356"/>
      <c r="L45" s="55">
        <v>100000</v>
      </c>
    </row>
    <row r="46" spans="1:13" s="33" customFormat="1" x14ac:dyDescent="0.25">
      <c r="A46" s="352">
        <v>45883</v>
      </c>
      <c r="B46" s="353"/>
      <c r="C46" s="322" t="s">
        <v>100</v>
      </c>
      <c r="D46" s="324"/>
      <c r="E46" s="354" t="s">
        <v>212</v>
      </c>
      <c r="F46" s="355"/>
      <c r="G46" s="355"/>
      <c r="H46" s="355"/>
      <c r="I46" s="355"/>
      <c r="J46" s="355"/>
      <c r="K46" s="356"/>
      <c r="L46" s="55">
        <v>80000</v>
      </c>
    </row>
    <row r="47" spans="1:13" x14ac:dyDescent="0.25">
      <c r="A47" s="352">
        <v>45895</v>
      </c>
      <c r="B47" s="353"/>
      <c r="C47" s="322">
        <v>854</v>
      </c>
      <c r="D47" s="324"/>
      <c r="E47" s="354" t="s">
        <v>213</v>
      </c>
      <c r="F47" s="355"/>
      <c r="G47" s="355"/>
      <c r="H47" s="355"/>
      <c r="I47" s="355"/>
      <c r="J47" s="355"/>
      <c r="K47" s="356"/>
      <c r="L47" s="55">
        <v>12600</v>
      </c>
      <c r="M47" s="33"/>
    </row>
    <row r="48" spans="1:13" x14ac:dyDescent="0.25">
      <c r="A48" s="352">
        <v>45874</v>
      </c>
      <c r="B48" s="353"/>
      <c r="C48" s="322" t="s">
        <v>100</v>
      </c>
      <c r="D48" s="324"/>
      <c r="E48" s="354" t="s">
        <v>244</v>
      </c>
      <c r="F48" s="355"/>
      <c r="G48" s="355"/>
      <c r="H48" s="355"/>
      <c r="I48" s="355"/>
      <c r="J48" s="355"/>
      <c r="K48" s="356"/>
      <c r="L48" s="55">
        <v>17354750</v>
      </c>
    </row>
    <row r="49" spans="1:13" x14ac:dyDescent="0.25">
      <c r="A49" s="352"/>
      <c r="B49" s="353"/>
      <c r="C49" s="322"/>
      <c r="D49" s="324"/>
      <c r="E49" s="354"/>
      <c r="F49" s="355"/>
      <c r="G49" s="355"/>
      <c r="H49" s="355"/>
      <c r="I49" s="355"/>
      <c r="J49" s="355"/>
      <c r="K49" s="356"/>
      <c r="L49" s="55"/>
    </row>
    <row r="50" spans="1:13" x14ac:dyDescent="0.25">
      <c r="A50" s="352"/>
      <c r="B50" s="353"/>
      <c r="C50" s="322"/>
      <c r="D50" s="324"/>
      <c r="E50" s="354"/>
      <c r="F50" s="355"/>
      <c r="G50" s="355"/>
      <c r="H50" s="355"/>
      <c r="I50" s="355"/>
      <c r="J50" s="355"/>
      <c r="K50" s="356"/>
      <c r="L50" s="55"/>
    </row>
    <row r="51" spans="1:13" x14ac:dyDescent="0.25">
      <c r="A51" s="334" t="s">
        <v>51</v>
      </c>
      <c r="B51" s="335"/>
      <c r="C51" s="335"/>
      <c r="D51" s="335"/>
      <c r="E51" s="335"/>
      <c r="F51" s="335"/>
      <c r="G51" s="335"/>
      <c r="H51" s="335"/>
      <c r="I51" s="335"/>
      <c r="J51" s="335"/>
      <c r="K51" s="336"/>
      <c r="L51" s="63">
        <f>SUM(L45:L50)</f>
        <v>17547350</v>
      </c>
    </row>
    <row r="52" spans="1:13" x14ac:dyDescent="0.25">
      <c r="A52" s="65"/>
      <c r="B52" s="66"/>
      <c r="C52" s="66"/>
      <c r="D52" s="66"/>
      <c r="E52" s="66"/>
      <c r="F52" s="66"/>
      <c r="G52" s="66"/>
      <c r="H52" s="31"/>
      <c r="I52" s="31"/>
      <c r="J52" s="31"/>
      <c r="K52" s="31"/>
      <c r="L52" s="31"/>
    </row>
    <row r="53" spans="1:13" x14ac:dyDescent="0.25">
      <c r="A53" s="48" t="s">
        <v>52</v>
      </c>
      <c r="B53" s="30"/>
      <c r="C53" s="30"/>
      <c r="D53" s="30"/>
      <c r="E53" s="30"/>
      <c r="F53" s="30"/>
      <c r="G53" s="30"/>
      <c r="H53" s="31"/>
      <c r="I53" s="31"/>
      <c r="J53" s="31"/>
      <c r="K53" s="31"/>
      <c r="L53" s="31"/>
    </row>
    <row r="54" spans="1:13" x14ac:dyDescent="0.25">
      <c r="A54" s="44"/>
      <c r="B54" s="45"/>
      <c r="C54" s="45"/>
      <c r="D54" s="45"/>
      <c r="E54" s="45"/>
      <c r="F54" s="45"/>
      <c r="G54" s="45"/>
      <c r="H54" s="31"/>
      <c r="I54" s="31"/>
      <c r="J54" s="46"/>
      <c r="K54" s="46"/>
      <c r="L54" s="31"/>
    </row>
    <row r="55" spans="1:13" x14ac:dyDescent="0.25">
      <c r="A55" s="337" t="s">
        <v>53</v>
      </c>
      <c r="B55" s="338"/>
      <c r="C55" s="337" t="s">
        <v>54</v>
      </c>
      <c r="D55" s="338"/>
      <c r="E55" s="126" t="s">
        <v>55</v>
      </c>
      <c r="F55" s="68" t="s">
        <v>37</v>
      </c>
      <c r="G55" s="339"/>
      <c r="H55" s="340"/>
      <c r="I55" s="340"/>
      <c r="J55" s="340"/>
      <c r="K55" s="341"/>
      <c r="L55" s="348" t="s">
        <v>56</v>
      </c>
    </row>
    <row r="56" spans="1:13" x14ac:dyDescent="0.25">
      <c r="A56" s="316"/>
      <c r="B56" s="317"/>
      <c r="C56" s="350" t="s">
        <v>57</v>
      </c>
      <c r="D56" s="351"/>
      <c r="E56" s="69"/>
      <c r="F56" s="44"/>
      <c r="G56" s="342"/>
      <c r="H56" s="343"/>
      <c r="I56" s="343"/>
      <c r="J56" s="343"/>
      <c r="K56" s="344"/>
      <c r="L56" s="349"/>
    </row>
    <row r="57" spans="1:13" x14ac:dyDescent="0.25">
      <c r="A57" s="310"/>
      <c r="B57" s="312"/>
      <c r="C57" s="310"/>
      <c r="D57" s="312"/>
      <c r="E57" s="70"/>
      <c r="F57" s="128"/>
      <c r="G57" s="342"/>
      <c r="H57" s="343"/>
      <c r="I57" s="343"/>
      <c r="J57" s="343"/>
      <c r="K57" s="344"/>
      <c r="L57" s="55"/>
    </row>
    <row r="58" spans="1:13" x14ac:dyDescent="0.25">
      <c r="A58" s="310"/>
      <c r="B58" s="312"/>
      <c r="C58" s="310"/>
      <c r="D58" s="312"/>
      <c r="E58" s="70"/>
      <c r="F58" s="64"/>
      <c r="G58" s="345"/>
      <c r="H58" s="346"/>
      <c r="I58" s="346"/>
      <c r="J58" s="346"/>
      <c r="K58" s="347"/>
      <c r="L58" s="72"/>
    </row>
    <row r="59" spans="1:13" x14ac:dyDescent="0.25">
      <c r="A59" s="322" t="s">
        <v>41</v>
      </c>
      <c r="B59" s="323"/>
      <c r="C59" s="323"/>
      <c r="D59" s="323"/>
      <c r="E59" s="323"/>
      <c r="F59" s="323"/>
      <c r="G59" s="323"/>
      <c r="H59" s="323"/>
      <c r="I59" s="323"/>
      <c r="J59" s="323"/>
      <c r="K59" s="324"/>
      <c r="L59" s="73">
        <f>SUM(L57:L58)</f>
        <v>0</v>
      </c>
    </row>
    <row r="60" spans="1:13" x14ac:dyDescent="0.25">
      <c r="A60" s="325"/>
      <c r="B60" s="326"/>
      <c r="C60" s="326"/>
      <c r="D60" s="326"/>
      <c r="E60" s="326"/>
      <c r="F60" s="326"/>
      <c r="G60" s="326"/>
      <c r="H60" s="326"/>
      <c r="I60" s="326"/>
      <c r="J60" s="326"/>
      <c r="K60" s="326"/>
      <c r="L60" s="326"/>
    </row>
    <row r="61" spans="1:13" x14ac:dyDescent="0.25">
      <c r="A61" s="327" t="s">
        <v>58</v>
      </c>
      <c r="B61" s="328"/>
      <c r="C61" s="328"/>
      <c r="D61" s="328"/>
      <c r="E61" s="328"/>
      <c r="F61" s="328"/>
      <c r="G61" s="328"/>
      <c r="H61" s="328"/>
      <c r="I61" s="328"/>
      <c r="J61" s="329"/>
      <c r="K61" s="330">
        <f>K9+L38-L51-L59</f>
        <v>0</v>
      </c>
      <c r="L61" s="330"/>
    </row>
    <row r="62" spans="1:13" x14ac:dyDescent="0.25">
      <c r="A62" s="331"/>
      <c r="B62" s="332"/>
      <c r="C62" s="332"/>
      <c r="D62" s="332"/>
      <c r="E62" s="332"/>
      <c r="F62" s="332"/>
      <c r="G62" s="332"/>
      <c r="H62" s="332"/>
      <c r="I62" s="332"/>
      <c r="J62" s="332"/>
      <c r="K62" s="332"/>
      <c r="L62" s="333"/>
    </row>
    <row r="63" spans="1:13" x14ac:dyDescent="0.25">
      <c r="A63" s="305" t="s">
        <v>59</v>
      </c>
      <c r="B63" s="305"/>
      <c r="C63" s="305"/>
      <c r="D63" s="305"/>
      <c r="E63" s="305"/>
      <c r="F63" s="305" t="s">
        <v>60</v>
      </c>
      <c r="G63" s="305"/>
      <c r="H63" s="305"/>
      <c r="I63" s="306"/>
      <c r="J63" s="309" t="s">
        <v>61</v>
      </c>
      <c r="K63" s="309"/>
      <c r="L63" s="309"/>
    </row>
    <row r="64" spans="1:13" x14ac:dyDescent="0.25">
      <c r="A64" s="310"/>
      <c r="B64" s="311"/>
      <c r="C64" s="311"/>
      <c r="D64" s="311"/>
      <c r="E64" s="312"/>
      <c r="F64" s="310"/>
      <c r="G64" s="311"/>
      <c r="H64" s="312"/>
      <c r="I64" s="307"/>
      <c r="J64" s="313"/>
      <c r="K64" s="314"/>
      <c r="L64" s="315"/>
      <c r="M64" s="74"/>
    </row>
    <row r="65" spans="1:12" x14ac:dyDescent="0.25">
      <c r="A65" s="316"/>
      <c r="B65" s="317"/>
      <c r="C65" s="317"/>
      <c r="D65" s="317"/>
      <c r="E65" s="318"/>
      <c r="F65" s="316"/>
      <c r="G65" s="317"/>
      <c r="H65" s="318"/>
      <c r="I65" s="308"/>
      <c r="J65" s="319"/>
      <c r="K65" s="320"/>
      <c r="L65" s="321"/>
    </row>
    <row r="66" spans="1:12" x14ac:dyDescent="0.25">
      <c r="A66" s="33"/>
      <c r="B66" s="33"/>
      <c r="C66" s="33"/>
      <c r="D66" s="33"/>
      <c r="E66" s="33"/>
      <c r="F66" s="33"/>
      <c r="G66" s="33"/>
      <c r="H66" s="75"/>
      <c r="I66" s="75"/>
      <c r="J66" s="75"/>
      <c r="K66" s="75"/>
      <c r="L66" s="75"/>
    </row>
  </sheetData>
  <mergeCells count="131">
    <mergeCell ref="C35:D35"/>
    <mergeCell ref="C36:D36"/>
    <mergeCell ref="E30:F30"/>
    <mergeCell ref="E31:F31"/>
    <mergeCell ref="E32:F32"/>
    <mergeCell ref="E33:F33"/>
    <mergeCell ref="E34:F34"/>
    <mergeCell ref="E35:F35"/>
    <mergeCell ref="E36:F36"/>
    <mergeCell ref="A63:E63"/>
    <mergeCell ref="F63:H63"/>
    <mergeCell ref="I63:I65"/>
    <mergeCell ref="J63:L63"/>
    <mergeCell ref="A64:E64"/>
    <mergeCell ref="F64:H64"/>
    <mergeCell ref="J64:L64"/>
    <mergeCell ref="A65:E65"/>
    <mergeCell ref="F65:H65"/>
    <mergeCell ref="J65:L65"/>
    <mergeCell ref="C58:D58"/>
    <mergeCell ref="A59:K59"/>
    <mergeCell ref="A60:L60"/>
    <mergeCell ref="A61:J61"/>
    <mergeCell ref="K61:L61"/>
    <mergeCell ref="A62:L62"/>
    <mergeCell ref="A51:K51"/>
    <mergeCell ref="A55:B55"/>
    <mergeCell ref="C55:D55"/>
    <mergeCell ref="G55:K58"/>
    <mergeCell ref="L55:L56"/>
    <mergeCell ref="A56:B56"/>
    <mergeCell ref="C56:D56"/>
    <mergeCell ref="A57:B57"/>
    <mergeCell ref="C57:D57"/>
    <mergeCell ref="A58:B58"/>
    <mergeCell ref="A49:B49"/>
    <mergeCell ref="C49:D49"/>
    <mergeCell ref="E49:K49"/>
    <mergeCell ref="A50:B50"/>
    <mergeCell ref="C50:D50"/>
    <mergeCell ref="E50:K50"/>
    <mergeCell ref="A47:B47"/>
    <mergeCell ref="C47:D47"/>
    <mergeCell ref="E47:K47"/>
    <mergeCell ref="A48:B48"/>
    <mergeCell ref="C48:D48"/>
    <mergeCell ref="E48:K48"/>
    <mergeCell ref="L42:L44"/>
    <mergeCell ref="A45:B45"/>
    <mergeCell ref="C45:D45"/>
    <mergeCell ref="E45:K45"/>
    <mergeCell ref="A46:B46"/>
    <mergeCell ref="C46:D46"/>
    <mergeCell ref="E46:K46"/>
    <mergeCell ref="A38:B38"/>
    <mergeCell ref="I38:K38"/>
    <mergeCell ref="A42:B44"/>
    <mergeCell ref="C42:D44"/>
    <mergeCell ref="E42:K44"/>
    <mergeCell ref="A29:B29"/>
    <mergeCell ref="C29:D29"/>
    <mergeCell ref="E29:F29"/>
    <mergeCell ref="A37:B37"/>
    <mergeCell ref="C37:D37"/>
    <mergeCell ref="E37:F37"/>
    <mergeCell ref="A27:B27"/>
    <mergeCell ref="C27:D27"/>
    <mergeCell ref="E27:F27"/>
    <mergeCell ref="A28:B28"/>
    <mergeCell ref="C28:D28"/>
    <mergeCell ref="E28:F28"/>
    <mergeCell ref="A30:B30"/>
    <mergeCell ref="A31:B31"/>
    <mergeCell ref="A32:B32"/>
    <mergeCell ref="A33:B33"/>
    <mergeCell ref="A34:B34"/>
    <mergeCell ref="A35:B35"/>
    <mergeCell ref="A36:B36"/>
    <mergeCell ref="C30:D30"/>
    <mergeCell ref="C31:D31"/>
    <mergeCell ref="C32:D32"/>
    <mergeCell ref="C33:D33"/>
    <mergeCell ref="C34:D34"/>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opLeftCell="A40" workbookViewId="0">
      <selection activeCell="A53" sqref="A53:B53"/>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35" t="s">
        <v>27</v>
      </c>
      <c r="B6" s="134" t="s">
        <v>28</v>
      </c>
      <c r="C6" s="134" t="s">
        <v>29</v>
      </c>
      <c r="D6" s="30"/>
      <c r="E6" s="30"/>
      <c r="F6" s="30"/>
      <c r="G6" s="30"/>
      <c r="H6" s="31"/>
      <c r="I6" s="31"/>
      <c r="J6" s="31"/>
      <c r="K6" s="31"/>
      <c r="L6" s="32"/>
    </row>
    <row r="7" spans="1:12" x14ac:dyDescent="0.25">
      <c r="A7" s="41" t="s">
        <v>141</v>
      </c>
      <c r="B7" s="42" t="s">
        <v>214</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37" t="s">
        <v>40</v>
      </c>
      <c r="K13" s="137" t="s">
        <v>40</v>
      </c>
      <c r="L13" s="137" t="s">
        <v>41</v>
      </c>
    </row>
    <row r="14" spans="1:12" x14ac:dyDescent="0.25">
      <c r="A14" s="396"/>
      <c r="B14" s="397"/>
      <c r="C14" s="396"/>
      <c r="D14" s="397"/>
      <c r="E14" s="361"/>
      <c r="F14" s="362"/>
      <c r="G14" s="399"/>
      <c r="H14" s="399"/>
      <c r="I14" s="399"/>
      <c r="J14" s="138" t="s">
        <v>42</v>
      </c>
      <c r="K14" s="138" t="s">
        <v>43</v>
      </c>
      <c r="L14" s="138" t="s">
        <v>44</v>
      </c>
    </row>
    <row r="15" spans="1:12" x14ac:dyDescent="0.25">
      <c r="A15" s="385">
        <v>1</v>
      </c>
      <c r="B15" s="384"/>
      <c r="C15" s="386" t="s">
        <v>206</v>
      </c>
      <c r="D15" s="386"/>
      <c r="E15" s="383" t="s">
        <v>103</v>
      </c>
      <c r="F15" s="383"/>
      <c r="G15" s="59" t="s">
        <v>26</v>
      </c>
      <c r="H15" s="55">
        <v>1661600</v>
      </c>
      <c r="I15" s="56"/>
      <c r="J15" s="57"/>
      <c r="K15" s="57"/>
      <c r="L15" s="58">
        <f t="shared" ref="L15:L43" si="0">H15</f>
        <v>1661600</v>
      </c>
    </row>
    <row r="16" spans="1:12" x14ac:dyDescent="0.25">
      <c r="A16" s="385">
        <v>1</v>
      </c>
      <c r="B16" s="384"/>
      <c r="C16" s="386" t="s">
        <v>206</v>
      </c>
      <c r="D16" s="386"/>
      <c r="E16" s="383" t="s">
        <v>83</v>
      </c>
      <c r="F16" s="383"/>
      <c r="G16" s="59" t="s">
        <v>26</v>
      </c>
      <c r="H16" s="55">
        <v>636400</v>
      </c>
      <c r="I16" s="56"/>
      <c r="J16" s="57"/>
      <c r="K16" s="57"/>
      <c r="L16" s="58">
        <f t="shared" si="0"/>
        <v>636400</v>
      </c>
    </row>
    <row r="17" spans="1:12" x14ac:dyDescent="0.25">
      <c r="A17" s="387" t="s">
        <v>217</v>
      </c>
      <c r="B17" s="386"/>
      <c r="C17" s="384" t="s">
        <v>218</v>
      </c>
      <c r="D17" s="384"/>
      <c r="E17" s="388" t="s">
        <v>219</v>
      </c>
      <c r="F17" s="389"/>
      <c r="G17" s="140" t="s">
        <v>26</v>
      </c>
      <c r="H17" s="60">
        <v>6321600</v>
      </c>
      <c r="I17" s="56"/>
      <c r="J17" s="57"/>
      <c r="K17" s="57"/>
      <c r="L17" s="58">
        <f t="shared" si="0"/>
        <v>6321600</v>
      </c>
    </row>
    <row r="18" spans="1:12" x14ac:dyDescent="0.25">
      <c r="A18" s="387" t="s">
        <v>77</v>
      </c>
      <c r="B18" s="386"/>
      <c r="C18" s="384">
        <v>3</v>
      </c>
      <c r="D18" s="384"/>
      <c r="E18" s="388" t="s">
        <v>184</v>
      </c>
      <c r="F18" s="389"/>
      <c r="G18" s="140" t="s">
        <v>26</v>
      </c>
      <c r="H18" s="55">
        <v>782600</v>
      </c>
      <c r="I18" s="56"/>
      <c r="J18" s="57"/>
      <c r="K18" s="57"/>
      <c r="L18" s="58">
        <f t="shared" si="0"/>
        <v>782600</v>
      </c>
    </row>
    <row r="19" spans="1:12" x14ac:dyDescent="0.25">
      <c r="A19" s="387" t="s">
        <v>77</v>
      </c>
      <c r="B19" s="386"/>
      <c r="C19" s="384">
        <v>1</v>
      </c>
      <c r="D19" s="384"/>
      <c r="E19" s="388" t="s">
        <v>222</v>
      </c>
      <c r="F19" s="389"/>
      <c r="G19" s="140" t="s">
        <v>26</v>
      </c>
      <c r="H19" s="55">
        <v>663300</v>
      </c>
      <c r="I19" s="56"/>
      <c r="J19" s="57"/>
      <c r="K19" s="57"/>
      <c r="L19" s="58">
        <f t="shared" si="0"/>
        <v>663300</v>
      </c>
    </row>
    <row r="20" spans="1:12" x14ac:dyDescent="0.25">
      <c r="A20" s="387" t="s">
        <v>77</v>
      </c>
      <c r="B20" s="386"/>
      <c r="C20" s="322">
        <v>7</v>
      </c>
      <c r="D20" s="324"/>
      <c r="E20" s="392" t="s">
        <v>72</v>
      </c>
      <c r="F20" s="393"/>
      <c r="G20" s="140" t="s">
        <v>26</v>
      </c>
      <c r="H20" s="55">
        <v>672300</v>
      </c>
      <c r="I20" s="56"/>
      <c r="J20" s="57"/>
      <c r="K20" s="57"/>
      <c r="L20" s="58">
        <f t="shared" si="0"/>
        <v>672300</v>
      </c>
    </row>
    <row r="21" spans="1:12" x14ac:dyDescent="0.25">
      <c r="A21" s="385">
        <v>1</v>
      </c>
      <c r="B21" s="384"/>
      <c r="C21" s="386" t="s">
        <v>80</v>
      </c>
      <c r="D21" s="386"/>
      <c r="E21" s="383" t="s">
        <v>191</v>
      </c>
      <c r="F21" s="383"/>
      <c r="G21" s="59" t="s">
        <v>26</v>
      </c>
      <c r="H21" s="55">
        <v>332896</v>
      </c>
      <c r="I21" s="56"/>
      <c r="J21" s="57"/>
      <c r="K21" s="57"/>
      <c r="L21" s="58">
        <f t="shared" si="0"/>
        <v>332896</v>
      </c>
    </row>
    <row r="22" spans="1:12" x14ac:dyDescent="0.25">
      <c r="A22" s="375">
        <v>1</v>
      </c>
      <c r="B22" s="376"/>
      <c r="C22" s="322">
        <v>1</v>
      </c>
      <c r="D22" s="324"/>
      <c r="E22" s="383" t="s">
        <v>223</v>
      </c>
      <c r="F22" s="383"/>
      <c r="G22" s="59" t="s">
        <v>26</v>
      </c>
      <c r="H22" s="55">
        <v>1681500</v>
      </c>
      <c r="I22" s="56"/>
      <c r="J22" s="57"/>
      <c r="K22" s="57"/>
      <c r="L22" s="58">
        <f t="shared" si="0"/>
        <v>1681500</v>
      </c>
    </row>
    <row r="23" spans="1:12" x14ac:dyDescent="0.25">
      <c r="A23" s="375">
        <v>1</v>
      </c>
      <c r="B23" s="376"/>
      <c r="C23" s="384">
        <v>1</v>
      </c>
      <c r="D23" s="384"/>
      <c r="E23" s="383" t="s">
        <v>226</v>
      </c>
      <c r="F23" s="383"/>
      <c r="G23" s="59" t="s">
        <v>26</v>
      </c>
      <c r="H23" s="55">
        <v>1011300</v>
      </c>
      <c r="I23" s="56"/>
      <c r="J23" s="57"/>
      <c r="K23" s="57"/>
      <c r="L23" s="58">
        <f t="shared" si="0"/>
        <v>1011300</v>
      </c>
    </row>
    <row r="24" spans="1:12" x14ac:dyDescent="0.25">
      <c r="A24" s="375">
        <v>1</v>
      </c>
      <c r="B24" s="376"/>
      <c r="C24" s="322">
        <v>5</v>
      </c>
      <c r="D24" s="324"/>
      <c r="E24" s="392" t="s">
        <v>104</v>
      </c>
      <c r="F24" s="393"/>
      <c r="G24" s="59" t="s">
        <v>26</v>
      </c>
      <c r="H24" s="55">
        <v>433600</v>
      </c>
      <c r="I24" s="56"/>
      <c r="J24" s="57"/>
      <c r="K24" s="57"/>
      <c r="L24" s="58">
        <f t="shared" si="0"/>
        <v>433600</v>
      </c>
    </row>
    <row r="25" spans="1:12" x14ac:dyDescent="0.25">
      <c r="A25" s="375">
        <v>1</v>
      </c>
      <c r="B25" s="376"/>
      <c r="C25" s="379" t="s">
        <v>80</v>
      </c>
      <c r="D25" s="380"/>
      <c r="E25" s="381" t="s">
        <v>197</v>
      </c>
      <c r="F25" s="382"/>
      <c r="G25" s="59" t="s">
        <v>26</v>
      </c>
      <c r="H25" s="55">
        <v>481700</v>
      </c>
      <c r="I25" s="56"/>
      <c r="J25" s="57"/>
      <c r="K25" s="57"/>
      <c r="L25" s="58">
        <f t="shared" si="0"/>
        <v>481700</v>
      </c>
    </row>
    <row r="26" spans="1:12" x14ac:dyDescent="0.25">
      <c r="A26" s="375">
        <v>1</v>
      </c>
      <c r="B26" s="376"/>
      <c r="C26" s="379" t="s">
        <v>80</v>
      </c>
      <c r="D26" s="380"/>
      <c r="E26" s="381" t="s">
        <v>194</v>
      </c>
      <c r="F26" s="382"/>
      <c r="G26" s="59" t="s">
        <v>26</v>
      </c>
      <c r="H26" s="55">
        <v>728700</v>
      </c>
      <c r="I26" s="56"/>
      <c r="J26" s="57"/>
      <c r="K26" s="57"/>
      <c r="L26" s="58">
        <f t="shared" si="0"/>
        <v>728700</v>
      </c>
    </row>
    <row r="27" spans="1:12" x14ac:dyDescent="0.25">
      <c r="A27" s="375">
        <v>1</v>
      </c>
      <c r="B27" s="376"/>
      <c r="C27" s="322">
        <v>7</v>
      </c>
      <c r="D27" s="324"/>
      <c r="E27" s="381" t="s">
        <v>71</v>
      </c>
      <c r="F27" s="382"/>
      <c r="G27" s="140" t="s">
        <v>26</v>
      </c>
      <c r="H27" s="60">
        <v>323400</v>
      </c>
      <c r="I27" s="56"/>
      <c r="J27" s="57"/>
      <c r="K27" s="57"/>
      <c r="L27" s="58">
        <f t="shared" si="0"/>
        <v>323400</v>
      </c>
    </row>
    <row r="28" spans="1:12" x14ac:dyDescent="0.25">
      <c r="A28" s="375">
        <v>1</v>
      </c>
      <c r="B28" s="376"/>
      <c r="C28" s="322">
        <v>2</v>
      </c>
      <c r="D28" s="324"/>
      <c r="E28" s="383" t="s">
        <v>186</v>
      </c>
      <c r="F28" s="383"/>
      <c r="G28" s="140" t="s">
        <v>26</v>
      </c>
      <c r="H28" s="60">
        <v>712300</v>
      </c>
      <c r="I28" s="56"/>
      <c r="J28" s="57"/>
      <c r="K28" s="57"/>
      <c r="L28" s="58">
        <f t="shared" si="0"/>
        <v>712300</v>
      </c>
    </row>
    <row r="29" spans="1:12" x14ac:dyDescent="0.25">
      <c r="A29" s="375">
        <v>1</v>
      </c>
      <c r="B29" s="376"/>
      <c r="C29" s="379" t="s">
        <v>77</v>
      </c>
      <c r="D29" s="380"/>
      <c r="E29" s="377" t="s">
        <v>227</v>
      </c>
      <c r="F29" s="378"/>
      <c r="G29" s="140" t="s">
        <v>26</v>
      </c>
      <c r="H29" s="60">
        <v>578500</v>
      </c>
      <c r="I29" s="56"/>
      <c r="J29" s="57"/>
      <c r="K29" s="57"/>
      <c r="L29" s="58">
        <f t="shared" si="0"/>
        <v>578500</v>
      </c>
    </row>
    <row r="30" spans="1:12" x14ac:dyDescent="0.25">
      <c r="A30" s="375">
        <v>1</v>
      </c>
      <c r="B30" s="376"/>
      <c r="C30" s="375">
        <v>5</v>
      </c>
      <c r="D30" s="376"/>
      <c r="E30" s="381" t="s">
        <v>106</v>
      </c>
      <c r="F30" s="382"/>
      <c r="G30" s="140" t="s">
        <v>26</v>
      </c>
      <c r="H30" s="60">
        <v>418100</v>
      </c>
      <c r="I30" s="56"/>
      <c r="J30" s="57"/>
      <c r="K30" s="57"/>
      <c r="L30" s="58">
        <f t="shared" si="0"/>
        <v>418100</v>
      </c>
    </row>
    <row r="31" spans="1:12" x14ac:dyDescent="0.25">
      <c r="A31" s="375">
        <v>1</v>
      </c>
      <c r="B31" s="376"/>
      <c r="C31" s="375">
        <v>2</v>
      </c>
      <c r="D31" s="376"/>
      <c r="E31" s="381" t="s">
        <v>193</v>
      </c>
      <c r="F31" s="382"/>
      <c r="G31" s="140" t="s">
        <v>26</v>
      </c>
      <c r="H31" s="60">
        <v>904200</v>
      </c>
      <c r="I31" s="56"/>
      <c r="J31" s="57"/>
      <c r="K31" s="57"/>
      <c r="L31" s="58">
        <f t="shared" si="0"/>
        <v>904200</v>
      </c>
    </row>
    <row r="32" spans="1:12" x14ac:dyDescent="0.25">
      <c r="A32" s="375">
        <v>1</v>
      </c>
      <c r="B32" s="376"/>
      <c r="C32" s="375">
        <v>3</v>
      </c>
      <c r="D32" s="376"/>
      <c r="E32" s="381" t="s">
        <v>161</v>
      </c>
      <c r="F32" s="382"/>
      <c r="G32" s="140" t="s">
        <v>26</v>
      </c>
      <c r="H32" s="60">
        <v>313900</v>
      </c>
      <c r="I32" s="56"/>
      <c r="J32" s="57"/>
      <c r="K32" s="57"/>
      <c r="L32" s="58">
        <f t="shared" si="0"/>
        <v>313900</v>
      </c>
    </row>
    <row r="33" spans="1:12" x14ac:dyDescent="0.25">
      <c r="A33" s="375">
        <v>1</v>
      </c>
      <c r="B33" s="376"/>
      <c r="C33" s="375">
        <v>3</v>
      </c>
      <c r="D33" s="376"/>
      <c r="E33" s="381" t="s">
        <v>160</v>
      </c>
      <c r="F33" s="382"/>
      <c r="G33" s="140" t="s">
        <v>26</v>
      </c>
      <c r="H33" s="60">
        <v>539613</v>
      </c>
      <c r="I33" s="56"/>
      <c r="J33" s="57"/>
      <c r="K33" s="57"/>
      <c r="L33" s="58">
        <f t="shared" si="0"/>
        <v>539613</v>
      </c>
    </row>
    <row r="34" spans="1:12" x14ac:dyDescent="0.25">
      <c r="A34" s="375">
        <v>1</v>
      </c>
      <c r="B34" s="376"/>
      <c r="C34" s="375">
        <v>2</v>
      </c>
      <c r="D34" s="376"/>
      <c r="E34" s="381" t="s">
        <v>187</v>
      </c>
      <c r="F34" s="382"/>
      <c r="G34" s="140" t="s">
        <v>26</v>
      </c>
      <c r="H34" s="60">
        <v>804500</v>
      </c>
      <c r="I34" s="56"/>
      <c r="J34" s="57"/>
      <c r="K34" s="57"/>
      <c r="L34" s="58">
        <f t="shared" si="0"/>
        <v>804500</v>
      </c>
    </row>
    <row r="35" spans="1:12" x14ac:dyDescent="0.25">
      <c r="A35" s="375">
        <v>14</v>
      </c>
      <c r="B35" s="376"/>
      <c r="C35" s="375" t="s">
        <v>228</v>
      </c>
      <c r="D35" s="376"/>
      <c r="E35" s="381" t="s">
        <v>229</v>
      </c>
      <c r="F35" s="382"/>
      <c r="G35" s="140" t="s">
        <v>26</v>
      </c>
      <c r="H35" s="60">
        <v>4297109</v>
      </c>
      <c r="I35" s="56"/>
      <c r="J35" s="57"/>
      <c r="K35" s="57"/>
      <c r="L35" s="58">
        <f t="shared" si="0"/>
        <v>4297109</v>
      </c>
    </row>
    <row r="36" spans="1:12" x14ac:dyDescent="0.25">
      <c r="A36" s="375">
        <v>2</v>
      </c>
      <c r="B36" s="376"/>
      <c r="C36" s="411" t="s">
        <v>230</v>
      </c>
      <c r="D36" s="412"/>
      <c r="E36" s="381" t="s">
        <v>178</v>
      </c>
      <c r="F36" s="382"/>
      <c r="G36" s="141" t="s">
        <v>26</v>
      </c>
      <c r="H36" s="60">
        <v>1734600</v>
      </c>
      <c r="I36" s="56"/>
      <c r="J36" s="57"/>
      <c r="K36" s="57"/>
      <c r="L36" s="58">
        <f t="shared" si="0"/>
        <v>1734600</v>
      </c>
    </row>
    <row r="37" spans="1:12" x14ac:dyDescent="0.25">
      <c r="A37" s="375">
        <v>1</v>
      </c>
      <c r="B37" s="376"/>
      <c r="C37" s="375">
        <v>2</v>
      </c>
      <c r="D37" s="376"/>
      <c r="E37" s="381" t="s">
        <v>207</v>
      </c>
      <c r="F37" s="382"/>
      <c r="G37" s="141" t="s">
        <v>26</v>
      </c>
      <c r="H37" s="60">
        <v>901600</v>
      </c>
      <c r="I37" s="56"/>
      <c r="J37" s="57"/>
      <c r="K37" s="57"/>
      <c r="L37" s="58">
        <f t="shared" si="0"/>
        <v>901600</v>
      </c>
    </row>
    <row r="38" spans="1:12" x14ac:dyDescent="0.25">
      <c r="A38" s="390">
        <v>45906</v>
      </c>
      <c r="B38" s="391"/>
      <c r="C38" s="322">
        <v>1</v>
      </c>
      <c r="D38" s="324"/>
      <c r="E38" s="392" t="s">
        <v>64</v>
      </c>
      <c r="F38" s="393"/>
      <c r="G38" s="141" t="s">
        <v>26</v>
      </c>
      <c r="H38" s="60">
        <v>43199682</v>
      </c>
      <c r="I38" s="56"/>
      <c r="J38" s="57"/>
      <c r="K38" s="57"/>
      <c r="L38" s="58">
        <f t="shared" si="0"/>
        <v>43199682</v>
      </c>
    </row>
    <row r="39" spans="1:12" x14ac:dyDescent="0.25">
      <c r="A39" s="375"/>
      <c r="B39" s="376"/>
      <c r="C39" s="375"/>
      <c r="D39" s="376"/>
      <c r="E39" s="381"/>
      <c r="F39" s="382"/>
      <c r="G39" s="141"/>
      <c r="H39" s="60"/>
      <c r="I39" s="56"/>
      <c r="J39" s="57"/>
      <c r="K39" s="57"/>
      <c r="L39" s="58">
        <f t="shared" si="0"/>
        <v>0</v>
      </c>
    </row>
    <row r="40" spans="1:12" x14ac:dyDescent="0.25">
      <c r="A40" s="375"/>
      <c r="B40" s="376"/>
      <c r="C40" s="375"/>
      <c r="D40" s="376"/>
      <c r="E40" s="381"/>
      <c r="F40" s="382"/>
      <c r="G40" s="141"/>
      <c r="H40" s="60"/>
      <c r="I40" s="56"/>
      <c r="J40" s="57"/>
      <c r="K40" s="57"/>
      <c r="L40" s="58">
        <f t="shared" si="0"/>
        <v>0</v>
      </c>
    </row>
    <row r="41" spans="1:12" x14ac:dyDescent="0.25">
      <c r="A41" s="375"/>
      <c r="B41" s="376"/>
      <c r="C41" s="375"/>
      <c r="D41" s="376"/>
      <c r="E41" s="381"/>
      <c r="F41" s="382"/>
      <c r="G41" s="141"/>
      <c r="H41" s="60"/>
      <c r="I41" s="56"/>
      <c r="J41" s="57"/>
      <c r="K41" s="57"/>
      <c r="L41" s="58">
        <f t="shared" si="0"/>
        <v>0</v>
      </c>
    </row>
    <row r="42" spans="1:12" x14ac:dyDescent="0.25">
      <c r="A42" s="375"/>
      <c r="B42" s="376"/>
      <c r="C42" s="375"/>
      <c r="D42" s="376"/>
      <c r="E42" s="381"/>
      <c r="F42" s="382"/>
      <c r="G42" s="140"/>
      <c r="H42" s="60"/>
      <c r="I42" s="56"/>
      <c r="J42" s="57"/>
      <c r="K42" s="57"/>
      <c r="L42" s="58">
        <f t="shared" si="0"/>
        <v>0</v>
      </c>
    </row>
    <row r="43" spans="1:12" x14ac:dyDescent="0.25">
      <c r="A43" s="375"/>
      <c r="B43" s="376"/>
      <c r="C43" s="375"/>
      <c r="D43" s="376"/>
      <c r="E43" s="381"/>
      <c r="F43" s="382"/>
      <c r="G43" s="140"/>
      <c r="H43" s="60"/>
      <c r="I43" s="56"/>
      <c r="J43" s="57"/>
      <c r="K43" s="57"/>
      <c r="L43" s="58">
        <f t="shared" si="0"/>
        <v>0</v>
      </c>
    </row>
    <row r="44" spans="1:12" x14ac:dyDescent="0.25">
      <c r="A44" s="322"/>
      <c r="B44" s="324"/>
      <c r="C44" s="61" t="s">
        <v>45</v>
      </c>
      <c r="D44" s="62"/>
      <c r="E44" s="62"/>
      <c r="F44" s="62"/>
      <c r="G44" s="62"/>
      <c r="H44" s="63">
        <f>SUM(H15:H43)</f>
        <v>70135000</v>
      </c>
      <c r="I44" s="334"/>
      <c r="J44" s="335"/>
      <c r="K44" s="336"/>
      <c r="L44" s="63">
        <f>SUM(L15:L43)</f>
        <v>70135000</v>
      </c>
    </row>
    <row r="45" spans="1:12" x14ac:dyDescent="0.25">
      <c r="A45" s="64"/>
      <c r="B45" s="38"/>
      <c r="C45" s="29"/>
      <c r="D45" s="30"/>
      <c r="E45" s="30"/>
      <c r="F45" s="30"/>
      <c r="G45" s="30"/>
      <c r="H45" s="31"/>
      <c r="I45" s="31"/>
      <c r="J45" s="31"/>
      <c r="K45" s="31"/>
      <c r="L45" s="32"/>
    </row>
    <row r="46" spans="1:12" x14ac:dyDescent="0.25">
      <c r="A46" s="48" t="s">
        <v>46</v>
      </c>
      <c r="B46" s="38"/>
      <c r="C46" s="29"/>
      <c r="D46" s="30"/>
      <c r="E46" s="30"/>
      <c r="F46" s="30"/>
      <c r="G46" s="30"/>
      <c r="H46" s="31"/>
      <c r="I46" s="31"/>
      <c r="J46" s="31"/>
      <c r="K46" s="31"/>
      <c r="L46" s="32"/>
    </row>
    <row r="47" spans="1:12" x14ac:dyDescent="0.25">
      <c r="A47" s="48"/>
      <c r="B47" s="30"/>
      <c r="C47" s="30"/>
      <c r="D47" s="30"/>
      <c r="E47" s="30"/>
      <c r="F47" s="30"/>
      <c r="G47" s="30"/>
      <c r="H47" s="31"/>
      <c r="I47" s="31"/>
      <c r="J47" s="31"/>
      <c r="K47" s="31"/>
      <c r="L47" s="32"/>
    </row>
    <row r="48" spans="1:12" x14ac:dyDescent="0.25">
      <c r="A48" s="357" t="s">
        <v>47</v>
      </c>
      <c r="B48" s="358"/>
      <c r="C48" s="363" t="s">
        <v>48</v>
      </c>
      <c r="D48" s="364"/>
      <c r="E48" s="357" t="s">
        <v>49</v>
      </c>
      <c r="F48" s="369"/>
      <c r="G48" s="369"/>
      <c r="H48" s="369"/>
      <c r="I48" s="369"/>
      <c r="J48" s="369"/>
      <c r="K48" s="358"/>
      <c r="L48" s="372" t="s">
        <v>50</v>
      </c>
    </row>
    <row r="49" spans="1:13" x14ac:dyDescent="0.25">
      <c r="A49" s="359"/>
      <c r="B49" s="360"/>
      <c r="C49" s="365"/>
      <c r="D49" s="366"/>
      <c r="E49" s="359"/>
      <c r="F49" s="370"/>
      <c r="G49" s="370"/>
      <c r="H49" s="370"/>
      <c r="I49" s="370"/>
      <c r="J49" s="370"/>
      <c r="K49" s="360"/>
      <c r="L49" s="373"/>
    </row>
    <row r="50" spans="1:13" x14ac:dyDescent="0.25">
      <c r="A50" s="361"/>
      <c r="B50" s="362"/>
      <c r="C50" s="367"/>
      <c r="D50" s="368"/>
      <c r="E50" s="361"/>
      <c r="F50" s="371"/>
      <c r="G50" s="371"/>
      <c r="H50" s="371"/>
      <c r="I50" s="371"/>
      <c r="J50" s="371"/>
      <c r="K50" s="362"/>
      <c r="L50" s="374"/>
    </row>
    <row r="51" spans="1:13" s="33" customFormat="1" x14ac:dyDescent="0.25">
      <c r="A51" s="352">
        <v>45847</v>
      </c>
      <c r="B51" s="353"/>
      <c r="C51" s="322">
        <v>883</v>
      </c>
      <c r="D51" s="324"/>
      <c r="E51" s="354" t="s">
        <v>242</v>
      </c>
      <c r="F51" s="355"/>
      <c r="G51" s="355"/>
      <c r="H51" s="355"/>
      <c r="I51" s="355"/>
      <c r="J51" s="355"/>
      <c r="K51" s="356"/>
      <c r="L51" s="55">
        <v>3790000</v>
      </c>
    </row>
    <row r="52" spans="1:13" s="33" customFormat="1" x14ac:dyDescent="0.25">
      <c r="A52" s="352">
        <v>45867</v>
      </c>
      <c r="B52" s="353"/>
      <c r="C52" s="322">
        <v>912</v>
      </c>
      <c r="D52" s="324"/>
      <c r="E52" s="354" t="s">
        <v>239</v>
      </c>
      <c r="F52" s="355"/>
      <c r="G52" s="355"/>
      <c r="H52" s="355"/>
      <c r="I52" s="355"/>
      <c r="J52" s="355"/>
      <c r="K52" s="356"/>
      <c r="L52" s="55">
        <v>7990000</v>
      </c>
    </row>
    <row r="53" spans="1:13" x14ac:dyDescent="0.25">
      <c r="A53" s="352">
        <v>45871</v>
      </c>
      <c r="B53" s="353"/>
      <c r="C53" s="322">
        <v>2606</v>
      </c>
      <c r="D53" s="324"/>
      <c r="E53" s="354" t="s">
        <v>224</v>
      </c>
      <c r="F53" s="355"/>
      <c r="G53" s="355"/>
      <c r="H53" s="355"/>
      <c r="I53" s="355"/>
      <c r="J53" s="355"/>
      <c r="K53" s="356"/>
      <c r="L53" s="55">
        <v>5389000</v>
      </c>
      <c r="M53" s="33"/>
    </row>
    <row r="54" spans="1:13" x14ac:dyDescent="0.25">
      <c r="A54" s="352">
        <v>45878</v>
      </c>
      <c r="B54" s="353"/>
      <c r="C54" s="322">
        <v>2620</v>
      </c>
      <c r="D54" s="324"/>
      <c r="E54" s="354" t="s">
        <v>231</v>
      </c>
      <c r="F54" s="355"/>
      <c r="G54" s="355"/>
      <c r="H54" s="355"/>
      <c r="I54" s="355"/>
      <c r="J54" s="355"/>
      <c r="K54" s="356"/>
      <c r="L54" s="55">
        <v>7543000</v>
      </c>
    </row>
    <row r="55" spans="1:13" x14ac:dyDescent="0.25">
      <c r="A55" s="352">
        <v>45888</v>
      </c>
      <c r="B55" s="353"/>
      <c r="C55" s="322">
        <v>2637</v>
      </c>
      <c r="D55" s="324"/>
      <c r="E55" s="354" t="s">
        <v>220</v>
      </c>
      <c r="F55" s="355"/>
      <c r="G55" s="355"/>
      <c r="H55" s="355"/>
      <c r="I55" s="355"/>
      <c r="J55" s="355"/>
      <c r="K55" s="356"/>
      <c r="L55" s="55">
        <v>8749000</v>
      </c>
    </row>
    <row r="56" spans="1:13" x14ac:dyDescent="0.25">
      <c r="A56" s="352">
        <v>45889</v>
      </c>
      <c r="B56" s="353"/>
      <c r="C56" s="322">
        <v>2640</v>
      </c>
      <c r="D56" s="324"/>
      <c r="E56" s="408" t="s">
        <v>233</v>
      </c>
      <c r="F56" s="409"/>
      <c r="G56" s="409"/>
      <c r="H56" s="409"/>
      <c r="I56" s="409"/>
      <c r="J56" s="409"/>
      <c r="K56" s="410"/>
      <c r="L56" s="55">
        <v>10419000</v>
      </c>
    </row>
    <row r="57" spans="1:13" x14ac:dyDescent="0.25">
      <c r="A57" s="352">
        <v>45890</v>
      </c>
      <c r="B57" s="353"/>
      <c r="C57" s="322">
        <v>2648</v>
      </c>
      <c r="D57" s="324"/>
      <c r="E57" s="354" t="s">
        <v>90</v>
      </c>
      <c r="F57" s="355"/>
      <c r="G57" s="355"/>
      <c r="H57" s="355"/>
      <c r="I57" s="355"/>
      <c r="J57" s="355"/>
      <c r="K57" s="356"/>
      <c r="L57" s="55">
        <v>7405000</v>
      </c>
    </row>
    <row r="58" spans="1:13" x14ac:dyDescent="0.25">
      <c r="A58" s="352">
        <v>45896</v>
      </c>
      <c r="B58" s="353"/>
      <c r="C58" s="322">
        <v>2662</v>
      </c>
      <c r="D58" s="324"/>
      <c r="E58" s="354" t="s">
        <v>235</v>
      </c>
      <c r="F58" s="355"/>
      <c r="G58" s="355"/>
      <c r="H58" s="355"/>
      <c r="I58" s="355"/>
      <c r="J58" s="355"/>
      <c r="K58" s="356"/>
      <c r="L58" s="55">
        <v>8405000</v>
      </c>
    </row>
    <row r="59" spans="1:13" x14ac:dyDescent="0.25">
      <c r="A59" s="352">
        <v>45899</v>
      </c>
      <c r="B59" s="353"/>
      <c r="C59" s="322">
        <v>2674</v>
      </c>
      <c r="D59" s="324"/>
      <c r="E59" s="354" t="s">
        <v>237</v>
      </c>
      <c r="F59" s="355"/>
      <c r="G59" s="355"/>
      <c r="H59" s="355"/>
      <c r="I59" s="355"/>
      <c r="J59" s="355"/>
      <c r="K59" s="356"/>
      <c r="L59" s="55">
        <v>10445000</v>
      </c>
    </row>
    <row r="60" spans="1:13" x14ac:dyDescent="0.25">
      <c r="A60" s="334" t="s">
        <v>51</v>
      </c>
      <c r="B60" s="335"/>
      <c r="C60" s="335"/>
      <c r="D60" s="335"/>
      <c r="E60" s="335"/>
      <c r="F60" s="335"/>
      <c r="G60" s="335"/>
      <c r="H60" s="335"/>
      <c r="I60" s="335"/>
      <c r="J60" s="335"/>
      <c r="K60" s="336"/>
      <c r="L60" s="63">
        <f>SUM(L51:L59)</f>
        <v>70135000</v>
      </c>
    </row>
    <row r="61" spans="1:13" x14ac:dyDescent="0.25">
      <c r="A61" s="65"/>
      <c r="B61" s="66"/>
      <c r="C61" s="66"/>
      <c r="D61" s="66"/>
      <c r="E61" s="66"/>
      <c r="F61" s="66"/>
      <c r="G61" s="66"/>
      <c r="H61" s="31"/>
      <c r="I61" s="31"/>
      <c r="J61" s="31"/>
      <c r="K61" s="31"/>
      <c r="L61" s="31"/>
    </row>
    <row r="62" spans="1:13" x14ac:dyDescent="0.25">
      <c r="A62" s="48" t="s">
        <v>52</v>
      </c>
      <c r="B62" s="30"/>
      <c r="C62" s="30"/>
      <c r="D62" s="30"/>
      <c r="E62" s="30"/>
      <c r="F62" s="30"/>
      <c r="G62" s="30"/>
      <c r="H62" s="31"/>
      <c r="I62" s="31"/>
      <c r="J62" s="31"/>
      <c r="K62" s="31"/>
      <c r="L62" s="31"/>
    </row>
    <row r="63" spans="1:13" x14ac:dyDescent="0.25">
      <c r="A63" s="44"/>
      <c r="B63" s="45"/>
      <c r="C63" s="45"/>
      <c r="D63" s="45"/>
      <c r="E63" s="45"/>
      <c r="F63" s="45"/>
      <c r="G63" s="45"/>
      <c r="H63" s="31"/>
      <c r="I63" s="31"/>
      <c r="J63" s="46"/>
      <c r="K63" s="46"/>
      <c r="L63" s="31"/>
    </row>
    <row r="64" spans="1:13" x14ac:dyDescent="0.25">
      <c r="A64" s="337" t="s">
        <v>53</v>
      </c>
      <c r="B64" s="338"/>
      <c r="C64" s="337" t="s">
        <v>54</v>
      </c>
      <c r="D64" s="338"/>
      <c r="E64" s="136" t="s">
        <v>55</v>
      </c>
      <c r="F64" s="68" t="s">
        <v>37</v>
      </c>
      <c r="G64" s="339"/>
      <c r="H64" s="340"/>
      <c r="I64" s="340"/>
      <c r="J64" s="340"/>
      <c r="K64" s="341"/>
      <c r="L64" s="348" t="s">
        <v>56</v>
      </c>
    </row>
    <row r="65" spans="1:13" x14ac:dyDescent="0.25">
      <c r="A65" s="316"/>
      <c r="B65" s="317"/>
      <c r="C65" s="350" t="s">
        <v>57</v>
      </c>
      <c r="D65" s="351"/>
      <c r="E65" s="69"/>
      <c r="F65" s="44"/>
      <c r="G65" s="342"/>
      <c r="H65" s="343"/>
      <c r="I65" s="343"/>
      <c r="J65" s="343"/>
      <c r="K65" s="344"/>
      <c r="L65" s="349"/>
    </row>
    <row r="66" spans="1:13" x14ac:dyDescent="0.25">
      <c r="A66" s="310"/>
      <c r="B66" s="312"/>
      <c r="C66" s="310"/>
      <c r="D66" s="312"/>
      <c r="E66" s="70"/>
      <c r="F66" s="139"/>
      <c r="G66" s="342"/>
      <c r="H66" s="343"/>
      <c r="I66" s="343"/>
      <c r="J66" s="343"/>
      <c r="K66" s="344"/>
      <c r="L66" s="55"/>
    </row>
    <row r="67" spans="1:13" x14ac:dyDescent="0.25">
      <c r="A67" s="310"/>
      <c r="B67" s="312"/>
      <c r="C67" s="310"/>
      <c r="D67" s="312"/>
      <c r="E67" s="70"/>
      <c r="F67" s="64"/>
      <c r="G67" s="345"/>
      <c r="H67" s="346"/>
      <c r="I67" s="346"/>
      <c r="J67" s="346"/>
      <c r="K67" s="347"/>
      <c r="L67" s="72"/>
    </row>
    <row r="68" spans="1:13" x14ac:dyDescent="0.25">
      <c r="A68" s="322" t="s">
        <v>41</v>
      </c>
      <c r="B68" s="323"/>
      <c r="C68" s="323"/>
      <c r="D68" s="323"/>
      <c r="E68" s="323"/>
      <c r="F68" s="323"/>
      <c r="G68" s="323"/>
      <c r="H68" s="323"/>
      <c r="I68" s="323"/>
      <c r="J68" s="323"/>
      <c r="K68" s="324"/>
      <c r="L68" s="73">
        <f>SUM(L66:L67)</f>
        <v>0</v>
      </c>
    </row>
    <row r="69" spans="1:13" x14ac:dyDescent="0.25">
      <c r="A69" s="325"/>
      <c r="B69" s="326"/>
      <c r="C69" s="326"/>
      <c r="D69" s="326"/>
      <c r="E69" s="326"/>
      <c r="F69" s="326"/>
      <c r="G69" s="326"/>
      <c r="H69" s="326"/>
      <c r="I69" s="326"/>
      <c r="J69" s="326"/>
      <c r="K69" s="326"/>
      <c r="L69" s="326"/>
    </row>
    <row r="70" spans="1:13" x14ac:dyDescent="0.25">
      <c r="A70" s="327" t="s">
        <v>58</v>
      </c>
      <c r="B70" s="328"/>
      <c r="C70" s="328"/>
      <c r="D70" s="328"/>
      <c r="E70" s="328"/>
      <c r="F70" s="328"/>
      <c r="G70" s="328"/>
      <c r="H70" s="328"/>
      <c r="I70" s="328"/>
      <c r="J70" s="329"/>
      <c r="K70" s="330">
        <f>K9+L44-L60-L68</f>
        <v>0</v>
      </c>
      <c r="L70" s="330"/>
    </row>
    <row r="71" spans="1:13" x14ac:dyDescent="0.25">
      <c r="A71" s="331"/>
      <c r="B71" s="332"/>
      <c r="C71" s="332"/>
      <c r="D71" s="332"/>
      <c r="E71" s="332"/>
      <c r="F71" s="332"/>
      <c r="G71" s="332"/>
      <c r="H71" s="332"/>
      <c r="I71" s="332"/>
      <c r="J71" s="332"/>
      <c r="K71" s="332"/>
      <c r="L71" s="333"/>
    </row>
    <row r="72" spans="1:13" x14ac:dyDescent="0.25">
      <c r="A72" s="305" t="s">
        <v>59</v>
      </c>
      <c r="B72" s="305"/>
      <c r="C72" s="305"/>
      <c r="D72" s="305"/>
      <c r="E72" s="305"/>
      <c r="F72" s="305" t="s">
        <v>60</v>
      </c>
      <c r="G72" s="305"/>
      <c r="H72" s="305"/>
      <c r="I72" s="306"/>
      <c r="J72" s="309" t="s">
        <v>61</v>
      </c>
      <c r="K72" s="309"/>
      <c r="L72" s="309"/>
    </row>
    <row r="73" spans="1:13" x14ac:dyDescent="0.25">
      <c r="A73" s="310"/>
      <c r="B73" s="311"/>
      <c r="C73" s="311"/>
      <c r="D73" s="311"/>
      <c r="E73" s="312"/>
      <c r="F73" s="310"/>
      <c r="G73" s="311"/>
      <c r="H73" s="312"/>
      <c r="I73" s="307"/>
      <c r="J73" s="313"/>
      <c r="K73" s="314"/>
      <c r="L73" s="315"/>
      <c r="M73" s="74"/>
    </row>
    <row r="74" spans="1:13" x14ac:dyDescent="0.25">
      <c r="A74" s="316"/>
      <c r="B74" s="317"/>
      <c r="C74" s="317"/>
      <c r="D74" s="317"/>
      <c r="E74" s="318"/>
      <c r="F74" s="316"/>
      <c r="G74" s="317"/>
      <c r="H74" s="318"/>
      <c r="I74" s="308"/>
      <c r="J74" s="319"/>
      <c r="K74" s="320"/>
      <c r="L74" s="321"/>
    </row>
    <row r="75" spans="1:13" x14ac:dyDescent="0.25">
      <c r="A75" s="33"/>
      <c r="B75" s="33"/>
      <c r="C75" s="33"/>
      <c r="D75" s="33"/>
      <c r="E75" s="33"/>
      <c r="F75" s="33"/>
      <c r="G75" s="33"/>
      <c r="H75" s="75"/>
      <c r="I75" s="75"/>
      <c r="J75" s="75"/>
      <c r="K75" s="75"/>
      <c r="L75" s="75"/>
    </row>
  </sheetData>
  <mergeCells count="158">
    <mergeCell ref="E41:F41"/>
    <mergeCell ref="E40:F40"/>
    <mergeCell ref="E39:F39"/>
    <mergeCell ref="E38:F38"/>
    <mergeCell ref="E37:F37"/>
    <mergeCell ref="E36:F36"/>
    <mergeCell ref="A56:B56"/>
    <mergeCell ref="A57:B57"/>
    <mergeCell ref="A58:B58"/>
    <mergeCell ref="C56:D56"/>
    <mergeCell ref="C57:D57"/>
    <mergeCell ref="C58:D58"/>
    <mergeCell ref="E56:K56"/>
    <mergeCell ref="E57:K57"/>
    <mergeCell ref="E58:K58"/>
    <mergeCell ref="A55:B55"/>
    <mergeCell ref="C55:D55"/>
    <mergeCell ref="E55:K55"/>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42:B42"/>
    <mergeCell ref="C42:D42"/>
    <mergeCell ref="E42:F42"/>
    <mergeCell ref="A33:B33"/>
    <mergeCell ref="C33:D33"/>
    <mergeCell ref="E33:F33"/>
    <mergeCell ref="A34:B34"/>
    <mergeCell ref="C34:D34"/>
    <mergeCell ref="E34:F34"/>
    <mergeCell ref="A36:B36"/>
    <mergeCell ref="A37:B37"/>
    <mergeCell ref="A38:B38"/>
    <mergeCell ref="A39:B39"/>
    <mergeCell ref="A40:B40"/>
    <mergeCell ref="A41:B41"/>
    <mergeCell ref="C41:D41"/>
    <mergeCell ref="C40:D40"/>
    <mergeCell ref="C39:D39"/>
    <mergeCell ref="C38:D38"/>
    <mergeCell ref="C37:D37"/>
    <mergeCell ref="C36:D36"/>
    <mergeCell ref="L48:L50"/>
    <mergeCell ref="A51:B51"/>
    <mergeCell ref="C51:D51"/>
    <mergeCell ref="E51:K51"/>
    <mergeCell ref="A52:B52"/>
    <mergeCell ref="C52:D52"/>
    <mergeCell ref="E52:K52"/>
    <mergeCell ref="A43:B43"/>
    <mergeCell ref="C43:D43"/>
    <mergeCell ref="E43:F43"/>
    <mergeCell ref="A44:B44"/>
    <mergeCell ref="I44:K44"/>
    <mergeCell ref="A48:B50"/>
    <mergeCell ref="C48:D50"/>
    <mergeCell ref="E48:K50"/>
    <mergeCell ref="A59:B59"/>
    <mergeCell ref="C59:D59"/>
    <mergeCell ref="E59:K59"/>
    <mergeCell ref="A53:B53"/>
    <mergeCell ref="C53:D53"/>
    <mergeCell ref="E53:K53"/>
    <mergeCell ref="A54:B54"/>
    <mergeCell ref="C54:D54"/>
    <mergeCell ref="E54:K54"/>
    <mergeCell ref="C67:D67"/>
    <mergeCell ref="A68:K68"/>
    <mergeCell ref="A69:L69"/>
    <mergeCell ref="A70:J70"/>
    <mergeCell ref="K70:L70"/>
    <mergeCell ref="A71:L71"/>
    <mergeCell ref="A60:K60"/>
    <mergeCell ref="A64:B64"/>
    <mergeCell ref="C64:D64"/>
    <mergeCell ref="G64:K67"/>
    <mergeCell ref="L64:L65"/>
    <mergeCell ref="A65:B65"/>
    <mergeCell ref="C65:D65"/>
    <mergeCell ref="A66:B66"/>
    <mergeCell ref="C66:D66"/>
    <mergeCell ref="A67:B67"/>
    <mergeCell ref="A72:E72"/>
    <mergeCell ref="F72:H72"/>
    <mergeCell ref="I72:I74"/>
    <mergeCell ref="J72:L72"/>
    <mergeCell ref="A73:E73"/>
    <mergeCell ref="F73:H73"/>
    <mergeCell ref="J73:L73"/>
    <mergeCell ref="A74:E74"/>
    <mergeCell ref="F74:H74"/>
    <mergeCell ref="J74:L74"/>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opLeftCell="A39" workbookViewId="0">
      <selection activeCell="E56" sqref="E56:K56"/>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43" t="s">
        <v>27</v>
      </c>
      <c r="B6" s="142" t="s">
        <v>28</v>
      </c>
      <c r="C6" s="142" t="s">
        <v>29</v>
      </c>
      <c r="D6" s="30"/>
      <c r="E6" s="30"/>
      <c r="F6" s="30"/>
      <c r="G6" s="30"/>
      <c r="H6" s="31"/>
      <c r="I6" s="31"/>
      <c r="J6" s="31"/>
      <c r="K6" s="31"/>
      <c r="L6" s="32"/>
    </row>
    <row r="7" spans="1:12" x14ac:dyDescent="0.25">
      <c r="A7" s="41" t="s">
        <v>245</v>
      </c>
      <c r="B7" s="42" t="s">
        <v>214</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45" t="s">
        <v>40</v>
      </c>
      <c r="K13" s="145" t="s">
        <v>40</v>
      </c>
      <c r="L13" s="145" t="s">
        <v>41</v>
      </c>
    </row>
    <row r="14" spans="1:12" x14ac:dyDescent="0.25">
      <c r="A14" s="396"/>
      <c r="B14" s="397"/>
      <c r="C14" s="396"/>
      <c r="D14" s="397"/>
      <c r="E14" s="361"/>
      <c r="F14" s="362"/>
      <c r="G14" s="399"/>
      <c r="H14" s="399"/>
      <c r="I14" s="399"/>
      <c r="J14" s="146" t="s">
        <v>42</v>
      </c>
      <c r="K14" s="146" t="s">
        <v>43</v>
      </c>
      <c r="L14" s="146" t="s">
        <v>44</v>
      </c>
    </row>
    <row r="15" spans="1:12" x14ac:dyDescent="0.25">
      <c r="A15" s="385">
        <v>1</v>
      </c>
      <c r="B15" s="384"/>
      <c r="C15" s="386" t="s">
        <v>142</v>
      </c>
      <c r="D15" s="386"/>
      <c r="E15" s="383" t="s">
        <v>180</v>
      </c>
      <c r="F15" s="383"/>
      <c r="G15" s="59" t="s">
        <v>26</v>
      </c>
      <c r="H15" s="55">
        <v>600000</v>
      </c>
      <c r="I15" s="56"/>
      <c r="J15" s="57"/>
      <c r="K15" s="57"/>
      <c r="L15" s="58">
        <f t="shared" ref="L15:L43" si="0">H15</f>
        <v>600000</v>
      </c>
    </row>
    <row r="16" spans="1:12" x14ac:dyDescent="0.25">
      <c r="A16" s="385">
        <v>1</v>
      </c>
      <c r="B16" s="384"/>
      <c r="C16" s="386" t="s">
        <v>77</v>
      </c>
      <c r="D16" s="386"/>
      <c r="E16" s="383" t="s">
        <v>103</v>
      </c>
      <c r="F16" s="383"/>
      <c r="G16" s="59" t="s">
        <v>26</v>
      </c>
      <c r="H16" s="55">
        <v>1389700</v>
      </c>
      <c r="I16" s="56"/>
      <c r="J16" s="57"/>
      <c r="K16" s="57"/>
      <c r="L16" s="58">
        <f t="shared" si="0"/>
        <v>1389700</v>
      </c>
    </row>
    <row r="17" spans="1:12" x14ac:dyDescent="0.25">
      <c r="A17" s="387" t="s">
        <v>77</v>
      </c>
      <c r="B17" s="386"/>
      <c r="C17" s="384">
        <v>3</v>
      </c>
      <c r="D17" s="384"/>
      <c r="E17" s="388" t="s">
        <v>192</v>
      </c>
      <c r="F17" s="389"/>
      <c r="G17" s="148" t="s">
        <v>26</v>
      </c>
      <c r="H17" s="60">
        <v>425600</v>
      </c>
      <c r="I17" s="56"/>
      <c r="J17" s="57"/>
      <c r="K17" s="57"/>
      <c r="L17" s="58">
        <f t="shared" si="0"/>
        <v>425600</v>
      </c>
    </row>
    <row r="18" spans="1:12" x14ac:dyDescent="0.25">
      <c r="A18" s="387" t="s">
        <v>77</v>
      </c>
      <c r="B18" s="386"/>
      <c r="C18" s="384">
        <v>1</v>
      </c>
      <c r="D18" s="384"/>
      <c r="E18" s="388" t="s">
        <v>248</v>
      </c>
      <c r="F18" s="389"/>
      <c r="G18" s="148" t="s">
        <v>26</v>
      </c>
      <c r="H18" s="55">
        <v>780600</v>
      </c>
      <c r="I18" s="56"/>
      <c r="J18" s="57"/>
      <c r="K18" s="57"/>
      <c r="L18" s="58">
        <f t="shared" si="0"/>
        <v>780600</v>
      </c>
    </row>
    <row r="19" spans="1:12" x14ac:dyDescent="0.25">
      <c r="A19" s="387" t="s">
        <v>77</v>
      </c>
      <c r="B19" s="386"/>
      <c r="C19" s="384">
        <v>4</v>
      </c>
      <c r="D19" s="384"/>
      <c r="E19" s="388" t="s">
        <v>136</v>
      </c>
      <c r="F19" s="389"/>
      <c r="G19" s="148" t="s">
        <v>26</v>
      </c>
      <c r="H19" s="55">
        <v>656200</v>
      </c>
      <c r="I19" s="56"/>
      <c r="J19" s="57"/>
      <c r="K19" s="57"/>
      <c r="L19" s="58">
        <f t="shared" si="0"/>
        <v>656200</v>
      </c>
    </row>
    <row r="20" spans="1:12" x14ac:dyDescent="0.25">
      <c r="A20" s="387" t="s">
        <v>77</v>
      </c>
      <c r="B20" s="386"/>
      <c r="C20" s="322">
        <v>1</v>
      </c>
      <c r="D20" s="324"/>
      <c r="E20" s="392" t="s">
        <v>249</v>
      </c>
      <c r="F20" s="393"/>
      <c r="G20" s="148" t="s">
        <v>240</v>
      </c>
      <c r="H20" s="55">
        <v>287300</v>
      </c>
      <c r="I20" s="56"/>
      <c r="J20" s="57"/>
      <c r="K20" s="57"/>
      <c r="L20" s="58">
        <f t="shared" si="0"/>
        <v>287300</v>
      </c>
    </row>
    <row r="21" spans="1:12" x14ac:dyDescent="0.25">
      <c r="A21" s="385">
        <v>1</v>
      </c>
      <c r="B21" s="384"/>
      <c r="C21" s="386" t="s">
        <v>80</v>
      </c>
      <c r="D21" s="386"/>
      <c r="E21" s="383" t="s">
        <v>249</v>
      </c>
      <c r="F21" s="383"/>
      <c r="G21" s="59" t="s">
        <v>240</v>
      </c>
      <c r="H21" s="55">
        <v>287300</v>
      </c>
      <c r="I21" s="56"/>
      <c r="J21" s="57"/>
      <c r="K21" s="57"/>
      <c r="L21" s="58">
        <f t="shared" si="0"/>
        <v>287300</v>
      </c>
    </row>
    <row r="22" spans="1:12" x14ac:dyDescent="0.25">
      <c r="A22" s="375">
        <v>1</v>
      </c>
      <c r="B22" s="376"/>
      <c r="C22" s="322">
        <v>1</v>
      </c>
      <c r="D22" s="324"/>
      <c r="E22" s="383" t="s">
        <v>250</v>
      </c>
      <c r="F22" s="383"/>
      <c r="G22" s="59" t="s">
        <v>240</v>
      </c>
      <c r="H22" s="55">
        <v>605800</v>
      </c>
      <c r="I22" s="56"/>
      <c r="J22" s="57"/>
      <c r="K22" s="57"/>
      <c r="L22" s="58">
        <f t="shared" si="0"/>
        <v>605800</v>
      </c>
    </row>
    <row r="23" spans="1:12" x14ac:dyDescent="0.25">
      <c r="A23" s="375">
        <v>1</v>
      </c>
      <c r="B23" s="376"/>
      <c r="C23" s="384">
        <v>6</v>
      </c>
      <c r="D23" s="384"/>
      <c r="E23" s="383" t="s">
        <v>86</v>
      </c>
      <c r="F23" s="383"/>
      <c r="G23" s="59" t="s">
        <v>26</v>
      </c>
      <c r="H23" s="55">
        <v>570600</v>
      </c>
      <c r="I23" s="56"/>
      <c r="J23" s="57"/>
      <c r="K23" s="57"/>
      <c r="L23" s="58">
        <f t="shared" si="0"/>
        <v>570600</v>
      </c>
    </row>
    <row r="24" spans="1:12" x14ac:dyDescent="0.25">
      <c r="A24" s="375">
        <v>1</v>
      </c>
      <c r="B24" s="376"/>
      <c r="C24" s="322">
        <v>5</v>
      </c>
      <c r="D24" s="324"/>
      <c r="E24" s="392" t="s">
        <v>107</v>
      </c>
      <c r="F24" s="393"/>
      <c r="G24" s="59" t="s">
        <v>26</v>
      </c>
      <c r="H24" s="55">
        <v>639349</v>
      </c>
      <c r="I24" s="56"/>
      <c r="J24" s="57"/>
      <c r="K24" s="57"/>
      <c r="L24" s="58">
        <f t="shared" si="0"/>
        <v>639349</v>
      </c>
    </row>
    <row r="25" spans="1:12" x14ac:dyDescent="0.25">
      <c r="A25" s="375">
        <v>1</v>
      </c>
      <c r="B25" s="376"/>
      <c r="C25" s="379" t="s">
        <v>77</v>
      </c>
      <c r="D25" s="380"/>
      <c r="E25" s="381" t="s">
        <v>251</v>
      </c>
      <c r="F25" s="382"/>
      <c r="G25" s="59" t="s">
        <v>26</v>
      </c>
      <c r="H25" s="55">
        <v>789900</v>
      </c>
      <c r="I25" s="56"/>
      <c r="J25" s="57"/>
      <c r="K25" s="57"/>
      <c r="L25" s="58">
        <f t="shared" si="0"/>
        <v>789900</v>
      </c>
    </row>
    <row r="26" spans="1:12" x14ac:dyDescent="0.25">
      <c r="A26" s="375">
        <v>1</v>
      </c>
      <c r="B26" s="376"/>
      <c r="C26" s="379" t="s">
        <v>188</v>
      </c>
      <c r="D26" s="380"/>
      <c r="E26" s="381" t="s">
        <v>132</v>
      </c>
      <c r="F26" s="382"/>
      <c r="G26" s="59" t="s">
        <v>26</v>
      </c>
      <c r="H26" s="55">
        <v>564700</v>
      </c>
      <c r="I26" s="56"/>
      <c r="J26" s="57"/>
      <c r="K26" s="57"/>
      <c r="L26" s="58">
        <f t="shared" si="0"/>
        <v>564700</v>
      </c>
    </row>
    <row r="27" spans="1:12" x14ac:dyDescent="0.25">
      <c r="A27" s="375">
        <v>1</v>
      </c>
      <c r="B27" s="376"/>
      <c r="C27" s="322">
        <v>6</v>
      </c>
      <c r="D27" s="324"/>
      <c r="E27" s="381" t="s">
        <v>89</v>
      </c>
      <c r="F27" s="382"/>
      <c r="G27" s="148" t="s">
        <v>26</v>
      </c>
      <c r="H27" s="60">
        <v>1060500</v>
      </c>
      <c r="I27" s="56"/>
      <c r="J27" s="57"/>
      <c r="K27" s="57"/>
      <c r="L27" s="58">
        <f t="shared" si="0"/>
        <v>1060500</v>
      </c>
    </row>
    <row r="28" spans="1:12" x14ac:dyDescent="0.25">
      <c r="A28" s="375">
        <v>1</v>
      </c>
      <c r="B28" s="376"/>
      <c r="C28" s="322">
        <v>3</v>
      </c>
      <c r="D28" s="324"/>
      <c r="E28" s="383" t="s">
        <v>185</v>
      </c>
      <c r="F28" s="383"/>
      <c r="G28" s="148" t="s">
        <v>26</v>
      </c>
      <c r="H28" s="60">
        <v>325300</v>
      </c>
      <c r="I28" s="56"/>
      <c r="J28" s="57"/>
      <c r="K28" s="57"/>
      <c r="L28" s="58">
        <f t="shared" si="0"/>
        <v>325300</v>
      </c>
    </row>
    <row r="29" spans="1:12" x14ac:dyDescent="0.25">
      <c r="A29" s="375">
        <v>1</v>
      </c>
      <c r="B29" s="376"/>
      <c r="C29" s="379" t="s">
        <v>77</v>
      </c>
      <c r="D29" s="380"/>
      <c r="E29" s="377" t="s">
        <v>252</v>
      </c>
      <c r="F29" s="378"/>
      <c r="G29" s="148" t="s">
        <v>26</v>
      </c>
      <c r="H29" s="60">
        <v>252083</v>
      </c>
      <c r="I29" s="56"/>
      <c r="J29" s="57"/>
      <c r="K29" s="57"/>
      <c r="L29" s="58">
        <f t="shared" si="0"/>
        <v>252083</v>
      </c>
    </row>
    <row r="30" spans="1:12" x14ac:dyDescent="0.25">
      <c r="A30" s="375">
        <v>2</v>
      </c>
      <c r="B30" s="376"/>
      <c r="C30" s="411" t="s">
        <v>177</v>
      </c>
      <c r="D30" s="412"/>
      <c r="E30" s="381" t="s">
        <v>253</v>
      </c>
      <c r="F30" s="382"/>
      <c r="G30" s="148" t="s">
        <v>26</v>
      </c>
      <c r="H30" s="60">
        <v>2004166</v>
      </c>
      <c r="I30" s="56"/>
      <c r="J30" s="57"/>
      <c r="K30" s="57"/>
      <c r="L30" s="58">
        <f t="shared" si="0"/>
        <v>2004166</v>
      </c>
    </row>
    <row r="31" spans="1:12" x14ac:dyDescent="0.25">
      <c r="A31" s="375">
        <v>1</v>
      </c>
      <c r="B31" s="376"/>
      <c r="C31" s="375">
        <v>3</v>
      </c>
      <c r="D31" s="376"/>
      <c r="E31" s="381" t="s">
        <v>193</v>
      </c>
      <c r="F31" s="382"/>
      <c r="G31" s="148" t="s">
        <v>26</v>
      </c>
      <c r="H31" s="60">
        <v>904200</v>
      </c>
      <c r="I31" s="56"/>
      <c r="J31" s="57"/>
      <c r="K31" s="57"/>
      <c r="L31" s="58">
        <f t="shared" si="0"/>
        <v>904200</v>
      </c>
    </row>
    <row r="32" spans="1:12" x14ac:dyDescent="0.25">
      <c r="A32" s="375">
        <v>1</v>
      </c>
      <c r="B32" s="376"/>
      <c r="C32" s="375">
        <v>5</v>
      </c>
      <c r="D32" s="376"/>
      <c r="E32" s="381" t="s">
        <v>136</v>
      </c>
      <c r="F32" s="382"/>
      <c r="G32" s="148" t="s">
        <v>26</v>
      </c>
      <c r="H32" s="60">
        <v>656200</v>
      </c>
      <c r="I32" s="56"/>
      <c r="J32" s="57"/>
      <c r="K32" s="57"/>
      <c r="L32" s="58">
        <f t="shared" si="0"/>
        <v>656200</v>
      </c>
    </row>
    <row r="33" spans="1:12" x14ac:dyDescent="0.25">
      <c r="A33" s="375">
        <v>1</v>
      </c>
      <c r="B33" s="376"/>
      <c r="C33" s="375">
        <v>4</v>
      </c>
      <c r="D33" s="376"/>
      <c r="E33" s="381" t="s">
        <v>161</v>
      </c>
      <c r="F33" s="382"/>
      <c r="G33" s="148" t="s">
        <v>26</v>
      </c>
      <c r="H33" s="60">
        <v>313900</v>
      </c>
      <c r="I33" s="56"/>
      <c r="J33" s="57"/>
      <c r="K33" s="57"/>
      <c r="L33" s="58">
        <f t="shared" si="0"/>
        <v>313900</v>
      </c>
    </row>
    <row r="34" spans="1:12" x14ac:dyDescent="0.25">
      <c r="A34" s="375">
        <v>2</v>
      </c>
      <c r="B34" s="376"/>
      <c r="C34" s="411" t="s">
        <v>262</v>
      </c>
      <c r="D34" s="412"/>
      <c r="E34" s="381" t="s">
        <v>178</v>
      </c>
      <c r="F34" s="382"/>
      <c r="G34" s="148" t="s">
        <v>26</v>
      </c>
      <c r="H34" s="60">
        <v>1734600</v>
      </c>
      <c r="I34" s="56"/>
      <c r="J34" s="57"/>
      <c r="K34" s="57"/>
      <c r="L34" s="58">
        <f t="shared" si="0"/>
        <v>1734600</v>
      </c>
    </row>
    <row r="35" spans="1:12" x14ac:dyDescent="0.25">
      <c r="A35" s="375">
        <v>1</v>
      </c>
      <c r="B35" s="376"/>
      <c r="C35" s="375">
        <v>8</v>
      </c>
      <c r="D35" s="376"/>
      <c r="E35" s="381" t="s">
        <v>71</v>
      </c>
      <c r="F35" s="382"/>
      <c r="G35" s="148" t="s">
        <v>26</v>
      </c>
      <c r="H35" s="60">
        <v>323400</v>
      </c>
      <c r="I35" s="56"/>
      <c r="J35" s="57"/>
      <c r="K35" s="57"/>
      <c r="L35" s="58">
        <f t="shared" si="0"/>
        <v>323400</v>
      </c>
    </row>
    <row r="36" spans="1:12" x14ac:dyDescent="0.25">
      <c r="A36" s="375">
        <v>1</v>
      </c>
      <c r="B36" s="376"/>
      <c r="C36" s="411" t="s">
        <v>158</v>
      </c>
      <c r="D36" s="412"/>
      <c r="E36" s="381" t="s">
        <v>134</v>
      </c>
      <c r="F36" s="382"/>
      <c r="G36" s="148" t="s">
        <v>26</v>
      </c>
      <c r="H36" s="60">
        <v>317700</v>
      </c>
      <c r="I36" s="56"/>
      <c r="J36" s="57"/>
      <c r="K36" s="57"/>
      <c r="L36" s="58">
        <f t="shared" si="0"/>
        <v>317700</v>
      </c>
    </row>
    <row r="37" spans="1:12" x14ac:dyDescent="0.25">
      <c r="A37" s="375">
        <v>1</v>
      </c>
      <c r="B37" s="376"/>
      <c r="C37" s="375">
        <v>6</v>
      </c>
      <c r="D37" s="376"/>
      <c r="E37" s="381" t="s">
        <v>106</v>
      </c>
      <c r="F37" s="382"/>
      <c r="G37" s="148" t="s">
        <v>26</v>
      </c>
      <c r="H37" s="60">
        <v>418100</v>
      </c>
      <c r="I37" s="56"/>
      <c r="J37" s="57"/>
      <c r="K37" s="57"/>
      <c r="L37" s="58">
        <f t="shared" si="0"/>
        <v>418100</v>
      </c>
    </row>
    <row r="38" spans="1:12" x14ac:dyDescent="0.25">
      <c r="A38" s="375">
        <v>1</v>
      </c>
      <c r="B38" s="376"/>
      <c r="C38" s="322">
        <v>5</v>
      </c>
      <c r="D38" s="324"/>
      <c r="E38" s="392" t="s">
        <v>135</v>
      </c>
      <c r="F38" s="393"/>
      <c r="G38" s="148" t="s">
        <v>26</v>
      </c>
      <c r="H38" s="60">
        <v>920600</v>
      </c>
      <c r="I38" s="56"/>
      <c r="J38" s="57"/>
      <c r="K38" s="57"/>
      <c r="L38" s="58">
        <f t="shared" si="0"/>
        <v>920600</v>
      </c>
    </row>
    <row r="39" spans="1:12" x14ac:dyDescent="0.25">
      <c r="A39" s="375">
        <v>1</v>
      </c>
      <c r="B39" s="376"/>
      <c r="C39" s="375">
        <v>1</v>
      </c>
      <c r="D39" s="376"/>
      <c r="E39" s="381" t="s">
        <v>263</v>
      </c>
      <c r="F39" s="382"/>
      <c r="G39" s="148" t="s">
        <v>26</v>
      </c>
      <c r="H39" s="60">
        <v>1080900</v>
      </c>
      <c r="I39" s="56"/>
      <c r="J39" s="57"/>
      <c r="K39" s="57"/>
      <c r="L39" s="58">
        <f t="shared" si="0"/>
        <v>1080900</v>
      </c>
    </row>
    <row r="40" spans="1:12" x14ac:dyDescent="0.25">
      <c r="A40" s="390">
        <v>45920</v>
      </c>
      <c r="B40" s="391"/>
      <c r="C40" s="322">
        <v>1</v>
      </c>
      <c r="D40" s="324"/>
      <c r="E40" s="392" t="s">
        <v>64</v>
      </c>
      <c r="F40" s="393"/>
      <c r="G40" s="156" t="s">
        <v>26</v>
      </c>
      <c r="H40" s="60">
        <v>8182802</v>
      </c>
      <c r="I40" s="56"/>
      <c r="J40" s="57"/>
      <c r="K40" s="57"/>
      <c r="L40" s="58">
        <f t="shared" si="0"/>
        <v>8182802</v>
      </c>
    </row>
    <row r="41" spans="1:12" x14ac:dyDescent="0.25">
      <c r="A41" s="375"/>
      <c r="B41" s="376"/>
      <c r="C41" s="375"/>
      <c r="D41" s="376"/>
      <c r="E41" s="381"/>
      <c r="F41" s="382"/>
      <c r="G41" s="148"/>
      <c r="H41" s="60"/>
      <c r="I41" s="56"/>
      <c r="J41" s="57"/>
      <c r="K41" s="57"/>
      <c r="L41" s="58">
        <f t="shared" si="0"/>
        <v>0</v>
      </c>
    </row>
    <row r="42" spans="1:12" x14ac:dyDescent="0.25">
      <c r="A42" s="375"/>
      <c r="B42" s="376"/>
      <c r="C42" s="375"/>
      <c r="D42" s="376"/>
      <c r="E42" s="381"/>
      <c r="F42" s="382"/>
      <c r="G42" s="148"/>
      <c r="H42" s="60"/>
      <c r="I42" s="56"/>
      <c r="J42" s="57"/>
      <c r="K42" s="57"/>
      <c r="L42" s="58">
        <f t="shared" si="0"/>
        <v>0</v>
      </c>
    </row>
    <row r="43" spans="1:12" x14ac:dyDescent="0.25">
      <c r="A43" s="375"/>
      <c r="B43" s="376"/>
      <c r="C43" s="375"/>
      <c r="D43" s="376"/>
      <c r="E43" s="381"/>
      <c r="F43" s="382"/>
      <c r="G43" s="148"/>
      <c r="H43" s="60"/>
      <c r="I43" s="56"/>
      <c r="J43" s="57"/>
      <c r="K43" s="57"/>
      <c r="L43" s="58">
        <f t="shared" si="0"/>
        <v>0</v>
      </c>
    </row>
    <row r="44" spans="1:12" x14ac:dyDescent="0.25">
      <c r="A44" s="322"/>
      <c r="B44" s="324"/>
      <c r="C44" s="61" t="s">
        <v>45</v>
      </c>
      <c r="D44" s="62"/>
      <c r="E44" s="62"/>
      <c r="F44" s="62"/>
      <c r="G44" s="62"/>
      <c r="H44" s="63">
        <f>SUM(H15:H43)</f>
        <v>26091500</v>
      </c>
      <c r="I44" s="334"/>
      <c r="J44" s="335"/>
      <c r="K44" s="336"/>
      <c r="L44" s="63">
        <f>SUM(L15:L43)</f>
        <v>26091500</v>
      </c>
    </row>
    <row r="45" spans="1:12" x14ac:dyDescent="0.25">
      <c r="A45" s="64"/>
      <c r="B45" s="38"/>
      <c r="C45" s="29"/>
      <c r="D45" s="30"/>
      <c r="E45" s="30"/>
      <c r="F45" s="30"/>
      <c r="G45" s="30"/>
      <c r="H45" s="31"/>
      <c r="I45" s="31"/>
      <c r="J45" s="31"/>
      <c r="K45" s="31"/>
      <c r="L45" s="32"/>
    </row>
    <row r="46" spans="1:12" x14ac:dyDescent="0.25">
      <c r="A46" s="48" t="s">
        <v>46</v>
      </c>
      <c r="B46" s="38"/>
      <c r="C46" s="29"/>
      <c r="D46" s="30"/>
      <c r="E46" s="30"/>
      <c r="F46" s="30"/>
      <c r="G46" s="30"/>
      <c r="H46" s="31"/>
      <c r="I46" s="31"/>
      <c r="J46" s="31"/>
      <c r="K46" s="31"/>
      <c r="L46" s="32"/>
    </row>
    <row r="47" spans="1:12" x14ac:dyDescent="0.25">
      <c r="A47" s="48"/>
      <c r="B47" s="30"/>
      <c r="C47" s="30"/>
      <c r="D47" s="30"/>
      <c r="E47" s="30"/>
      <c r="F47" s="30"/>
      <c r="G47" s="30"/>
      <c r="H47" s="31"/>
      <c r="I47" s="31"/>
      <c r="J47" s="31"/>
      <c r="K47" s="31"/>
      <c r="L47" s="32"/>
    </row>
    <row r="48" spans="1:12" x14ac:dyDescent="0.25">
      <c r="A48" s="357" t="s">
        <v>47</v>
      </c>
      <c r="B48" s="358"/>
      <c r="C48" s="363" t="s">
        <v>48</v>
      </c>
      <c r="D48" s="364"/>
      <c r="E48" s="357" t="s">
        <v>49</v>
      </c>
      <c r="F48" s="369"/>
      <c r="G48" s="369"/>
      <c r="H48" s="369"/>
      <c r="I48" s="369"/>
      <c r="J48" s="369"/>
      <c r="K48" s="358"/>
      <c r="L48" s="372" t="s">
        <v>50</v>
      </c>
    </row>
    <row r="49" spans="1:13" x14ac:dyDescent="0.25">
      <c r="A49" s="359"/>
      <c r="B49" s="360"/>
      <c r="C49" s="365"/>
      <c r="D49" s="366"/>
      <c r="E49" s="359"/>
      <c r="F49" s="370"/>
      <c r="G49" s="370"/>
      <c r="H49" s="370"/>
      <c r="I49" s="370"/>
      <c r="J49" s="370"/>
      <c r="K49" s="360"/>
      <c r="L49" s="373"/>
    </row>
    <row r="50" spans="1:13" x14ac:dyDescent="0.25">
      <c r="A50" s="361"/>
      <c r="B50" s="362"/>
      <c r="C50" s="367"/>
      <c r="D50" s="368"/>
      <c r="E50" s="361"/>
      <c r="F50" s="371"/>
      <c r="G50" s="371"/>
      <c r="H50" s="371"/>
      <c r="I50" s="371"/>
      <c r="J50" s="371"/>
      <c r="K50" s="362"/>
      <c r="L50" s="374"/>
    </row>
    <row r="51" spans="1:13" s="33" customFormat="1" x14ac:dyDescent="0.25">
      <c r="A51" s="352">
        <v>45901</v>
      </c>
      <c r="B51" s="353"/>
      <c r="C51" s="322">
        <v>2677</v>
      </c>
      <c r="D51" s="324"/>
      <c r="E51" s="354" t="s">
        <v>254</v>
      </c>
      <c r="F51" s="355"/>
      <c r="G51" s="355"/>
      <c r="H51" s="355"/>
      <c r="I51" s="355"/>
      <c r="J51" s="355"/>
      <c r="K51" s="356"/>
      <c r="L51" s="55">
        <v>9988000</v>
      </c>
    </row>
    <row r="52" spans="1:13" s="33" customFormat="1" x14ac:dyDescent="0.25">
      <c r="A52" s="352">
        <v>45906</v>
      </c>
      <c r="B52" s="353"/>
      <c r="C52" s="322">
        <v>2691</v>
      </c>
      <c r="D52" s="324"/>
      <c r="E52" s="354" t="s">
        <v>256</v>
      </c>
      <c r="F52" s="355"/>
      <c r="G52" s="355"/>
      <c r="H52" s="355"/>
      <c r="I52" s="355"/>
      <c r="J52" s="355"/>
      <c r="K52" s="356"/>
      <c r="L52" s="55">
        <v>10387000</v>
      </c>
    </row>
    <row r="53" spans="1:13" x14ac:dyDescent="0.25">
      <c r="A53" s="352">
        <v>45910</v>
      </c>
      <c r="B53" s="353"/>
      <c r="C53" s="322">
        <v>2698</v>
      </c>
      <c r="D53" s="324"/>
      <c r="E53" s="354" t="s">
        <v>258</v>
      </c>
      <c r="F53" s="355"/>
      <c r="G53" s="355"/>
      <c r="H53" s="355"/>
      <c r="I53" s="355"/>
      <c r="J53" s="355"/>
      <c r="K53" s="356"/>
      <c r="L53" s="55">
        <v>3000000</v>
      </c>
      <c r="M53" s="33"/>
    </row>
    <row r="54" spans="1:13" x14ac:dyDescent="0.25">
      <c r="A54" s="352">
        <v>45916</v>
      </c>
      <c r="B54" s="353"/>
      <c r="C54" s="322">
        <v>2711</v>
      </c>
      <c r="D54" s="324"/>
      <c r="E54" s="354" t="s">
        <v>260</v>
      </c>
      <c r="F54" s="355"/>
      <c r="G54" s="355"/>
      <c r="H54" s="355"/>
      <c r="I54" s="355"/>
      <c r="J54" s="355"/>
      <c r="K54" s="356"/>
      <c r="L54" s="55">
        <v>2490000</v>
      </c>
    </row>
    <row r="55" spans="1:13" x14ac:dyDescent="0.25">
      <c r="A55" s="352">
        <v>45917</v>
      </c>
      <c r="B55" s="353"/>
      <c r="C55" s="322" t="s">
        <v>100</v>
      </c>
      <c r="D55" s="324"/>
      <c r="E55" s="354" t="s">
        <v>247</v>
      </c>
      <c r="F55" s="355"/>
      <c r="G55" s="355"/>
      <c r="H55" s="355"/>
      <c r="I55" s="355"/>
      <c r="J55" s="355"/>
      <c r="K55" s="356"/>
      <c r="L55" s="55">
        <v>200000</v>
      </c>
    </row>
    <row r="56" spans="1:13" x14ac:dyDescent="0.25">
      <c r="A56" s="352">
        <v>45917</v>
      </c>
      <c r="B56" s="353"/>
      <c r="C56" s="322">
        <v>924</v>
      </c>
      <c r="D56" s="324"/>
      <c r="E56" s="354" t="s">
        <v>246</v>
      </c>
      <c r="F56" s="355"/>
      <c r="G56" s="355"/>
      <c r="H56" s="355"/>
      <c r="I56" s="355"/>
      <c r="J56" s="355"/>
      <c r="K56" s="356"/>
      <c r="L56" s="55">
        <v>26500</v>
      </c>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x14ac:dyDescent="0.25">
      <c r="A60" s="334" t="s">
        <v>51</v>
      </c>
      <c r="B60" s="335"/>
      <c r="C60" s="335"/>
      <c r="D60" s="335"/>
      <c r="E60" s="335"/>
      <c r="F60" s="335"/>
      <c r="G60" s="335"/>
      <c r="H60" s="335"/>
      <c r="I60" s="335"/>
      <c r="J60" s="335"/>
      <c r="K60" s="336"/>
      <c r="L60" s="63">
        <f>SUM(L51:L59)</f>
        <v>26091500</v>
      </c>
    </row>
    <row r="61" spans="1:13" x14ac:dyDescent="0.25">
      <c r="A61" s="65"/>
      <c r="B61" s="66"/>
      <c r="C61" s="66"/>
      <c r="D61" s="66"/>
      <c r="E61" s="66"/>
      <c r="F61" s="66"/>
      <c r="G61" s="66"/>
      <c r="H61" s="31"/>
      <c r="I61" s="31"/>
      <c r="J61" s="31"/>
      <c r="K61" s="31"/>
      <c r="L61" s="31"/>
    </row>
    <row r="62" spans="1:13" x14ac:dyDescent="0.25">
      <c r="A62" s="48" t="s">
        <v>52</v>
      </c>
      <c r="B62" s="30"/>
      <c r="C62" s="30"/>
      <c r="D62" s="30"/>
      <c r="E62" s="30"/>
      <c r="F62" s="30"/>
      <c r="G62" s="30"/>
      <c r="H62" s="31"/>
      <c r="I62" s="31"/>
      <c r="J62" s="31"/>
      <c r="K62" s="31"/>
      <c r="L62" s="31"/>
    </row>
    <row r="63" spans="1:13" x14ac:dyDescent="0.25">
      <c r="A63" s="44"/>
      <c r="B63" s="45"/>
      <c r="C63" s="45"/>
      <c r="D63" s="45"/>
      <c r="E63" s="45"/>
      <c r="F63" s="45"/>
      <c r="G63" s="45"/>
      <c r="H63" s="31"/>
      <c r="I63" s="31"/>
      <c r="J63" s="46"/>
      <c r="K63" s="46"/>
      <c r="L63" s="31"/>
    </row>
    <row r="64" spans="1:13" x14ac:dyDescent="0.25">
      <c r="A64" s="337" t="s">
        <v>53</v>
      </c>
      <c r="B64" s="338"/>
      <c r="C64" s="337" t="s">
        <v>54</v>
      </c>
      <c r="D64" s="338"/>
      <c r="E64" s="144" t="s">
        <v>55</v>
      </c>
      <c r="F64" s="68" t="s">
        <v>37</v>
      </c>
      <c r="G64" s="339"/>
      <c r="H64" s="340"/>
      <c r="I64" s="340"/>
      <c r="J64" s="340"/>
      <c r="K64" s="341"/>
      <c r="L64" s="348" t="s">
        <v>56</v>
      </c>
    </row>
    <row r="65" spans="1:13" x14ac:dyDescent="0.25">
      <c r="A65" s="316"/>
      <c r="B65" s="317"/>
      <c r="C65" s="350" t="s">
        <v>57</v>
      </c>
      <c r="D65" s="351"/>
      <c r="E65" s="69"/>
      <c r="F65" s="44"/>
      <c r="G65" s="342"/>
      <c r="H65" s="343"/>
      <c r="I65" s="343"/>
      <c r="J65" s="343"/>
      <c r="K65" s="344"/>
      <c r="L65" s="349"/>
    </row>
    <row r="66" spans="1:13" x14ac:dyDescent="0.25">
      <c r="A66" s="310"/>
      <c r="B66" s="312"/>
      <c r="C66" s="310"/>
      <c r="D66" s="312"/>
      <c r="E66" s="70"/>
      <c r="F66" s="147"/>
      <c r="G66" s="342"/>
      <c r="H66" s="343"/>
      <c r="I66" s="343"/>
      <c r="J66" s="343"/>
      <c r="K66" s="344"/>
      <c r="L66" s="55"/>
    </row>
    <row r="67" spans="1:13" x14ac:dyDescent="0.25">
      <c r="A67" s="310"/>
      <c r="B67" s="312"/>
      <c r="C67" s="310"/>
      <c r="D67" s="312"/>
      <c r="E67" s="70"/>
      <c r="F67" s="64"/>
      <c r="G67" s="345"/>
      <c r="H67" s="346"/>
      <c r="I67" s="346"/>
      <c r="J67" s="346"/>
      <c r="K67" s="347"/>
      <c r="L67" s="72"/>
    </row>
    <row r="68" spans="1:13" x14ac:dyDescent="0.25">
      <c r="A68" s="322" t="s">
        <v>41</v>
      </c>
      <c r="B68" s="323"/>
      <c r="C68" s="323"/>
      <c r="D68" s="323"/>
      <c r="E68" s="323"/>
      <c r="F68" s="323"/>
      <c r="G68" s="323"/>
      <c r="H68" s="323"/>
      <c r="I68" s="323"/>
      <c r="J68" s="323"/>
      <c r="K68" s="324"/>
      <c r="L68" s="73">
        <f>SUM(L66:L67)</f>
        <v>0</v>
      </c>
    </row>
    <row r="69" spans="1:13" x14ac:dyDescent="0.25">
      <c r="A69" s="325"/>
      <c r="B69" s="326"/>
      <c r="C69" s="326"/>
      <c r="D69" s="326"/>
      <c r="E69" s="326"/>
      <c r="F69" s="326"/>
      <c r="G69" s="326"/>
      <c r="H69" s="326"/>
      <c r="I69" s="326"/>
      <c r="J69" s="326"/>
      <c r="K69" s="326"/>
      <c r="L69" s="326"/>
    </row>
    <row r="70" spans="1:13" x14ac:dyDescent="0.25">
      <c r="A70" s="327" t="s">
        <v>58</v>
      </c>
      <c r="B70" s="328"/>
      <c r="C70" s="328"/>
      <c r="D70" s="328"/>
      <c r="E70" s="328"/>
      <c r="F70" s="328"/>
      <c r="G70" s="328"/>
      <c r="H70" s="328"/>
      <c r="I70" s="328"/>
      <c r="J70" s="329"/>
      <c r="K70" s="330">
        <f>K9+L44-L60-L68</f>
        <v>0</v>
      </c>
      <c r="L70" s="330"/>
    </row>
    <row r="71" spans="1:13" x14ac:dyDescent="0.25">
      <c r="A71" s="331"/>
      <c r="B71" s="332"/>
      <c r="C71" s="332"/>
      <c r="D71" s="332"/>
      <c r="E71" s="332"/>
      <c r="F71" s="332"/>
      <c r="G71" s="332"/>
      <c r="H71" s="332"/>
      <c r="I71" s="332"/>
      <c r="J71" s="332"/>
      <c r="K71" s="332"/>
      <c r="L71" s="333"/>
    </row>
    <row r="72" spans="1:13" x14ac:dyDescent="0.25">
      <c r="A72" s="305" t="s">
        <v>59</v>
      </c>
      <c r="B72" s="305"/>
      <c r="C72" s="305"/>
      <c r="D72" s="305"/>
      <c r="E72" s="305"/>
      <c r="F72" s="305" t="s">
        <v>60</v>
      </c>
      <c r="G72" s="305"/>
      <c r="H72" s="305"/>
      <c r="I72" s="306"/>
      <c r="J72" s="309" t="s">
        <v>61</v>
      </c>
      <c r="K72" s="309"/>
      <c r="L72" s="309"/>
    </row>
    <row r="73" spans="1:13" x14ac:dyDescent="0.25">
      <c r="A73" s="310"/>
      <c r="B73" s="311"/>
      <c r="C73" s="311"/>
      <c r="D73" s="311"/>
      <c r="E73" s="312"/>
      <c r="F73" s="310"/>
      <c r="G73" s="311"/>
      <c r="H73" s="312"/>
      <c r="I73" s="307"/>
      <c r="J73" s="313"/>
      <c r="K73" s="314"/>
      <c r="L73" s="315"/>
      <c r="M73" s="74"/>
    </row>
    <row r="74" spans="1:13" x14ac:dyDescent="0.25">
      <c r="A74" s="316"/>
      <c r="B74" s="317"/>
      <c r="C74" s="317"/>
      <c r="D74" s="317"/>
      <c r="E74" s="318"/>
      <c r="F74" s="316"/>
      <c r="G74" s="317"/>
      <c r="H74" s="318"/>
      <c r="I74" s="308"/>
      <c r="J74" s="319"/>
      <c r="K74" s="320"/>
      <c r="L74" s="321"/>
    </row>
    <row r="75" spans="1:13" x14ac:dyDescent="0.25">
      <c r="A75" s="33"/>
      <c r="B75" s="33"/>
      <c r="C75" s="33"/>
      <c r="D75" s="33"/>
      <c r="E75" s="33"/>
      <c r="F75" s="33"/>
      <c r="G75" s="33"/>
      <c r="H75" s="75"/>
      <c r="I75" s="75"/>
      <c r="J75" s="75"/>
      <c r="K75" s="75"/>
      <c r="L75" s="75"/>
    </row>
  </sheetData>
  <mergeCells count="158">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39:B39"/>
    <mergeCell ref="C39:D39"/>
    <mergeCell ref="E39:F39"/>
    <mergeCell ref="A40:B40"/>
    <mergeCell ref="C40:D40"/>
    <mergeCell ref="E40:F40"/>
    <mergeCell ref="A37:B37"/>
    <mergeCell ref="C37:D37"/>
    <mergeCell ref="E37:F37"/>
    <mergeCell ref="A38:B38"/>
    <mergeCell ref="C38:D38"/>
    <mergeCell ref="E38:F38"/>
    <mergeCell ref="A43:B43"/>
    <mergeCell ref="C43:D43"/>
    <mergeCell ref="E43:F43"/>
    <mergeCell ref="A44:B44"/>
    <mergeCell ref="I44:K44"/>
    <mergeCell ref="A48:B50"/>
    <mergeCell ref="C48:D50"/>
    <mergeCell ref="E48:K50"/>
    <mergeCell ref="A41:B41"/>
    <mergeCell ref="C41:D41"/>
    <mergeCell ref="E41:F41"/>
    <mergeCell ref="A42:B42"/>
    <mergeCell ref="C42:D42"/>
    <mergeCell ref="E42:F42"/>
    <mergeCell ref="A53:B53"/>
    <mergeCell ref="C53:D53"/>
    <mergeCell ref="E53:K53"/>
    <mergeCell ref="A54:B54"/>
    <mergeCell ref="C54:D54"/>
    <mergeCell ref="E54:K54"/>
    <mergeCell ref="L48:L50"/>
    <mergeCell ref="A51:B51"/>
    <mergeCell ref="C51:D51"/>
    <mergeCell ref="E51:K51"/>
    <mergeCell ref="A52:B52"/>
    <mergeCell ref="C52:D52"/>
    <mergeCell ref="E52:K52"/>
    <mergeCell ref="A57:B57"/>
    <mergeCell ref="C57:D57"/>
    <mergeCell ref="E57:K57"/>
    <mergeCell ref="A58:B58"/>
    <mergeCell ref="C58:D58"/>
    <mergeCell ref="E58:K58"/>
    <mergeCell ref="A55:B55"/>
    <mergeCell ref="C55:D55"/>
    <mergeCell ref="E55:K55"/>
    <mergeCell ref="A56:B56"/>
    <mergeCell ref="C56:D56"/>
    <mergeCell ref="E56:K56"/>
    <mergeCell ref="L64:L65"/>
    <mergeCell ref="A65:B65"/>
    <mergeCell ref="C65:D65"/>
    <mergeCell ref="A66:B66"/>
    <mergeCell ref="C66:D66"/>
    <mergeCell ref="A67:B67"/>
    <mergeCell ref="C67:D67"/>
    <mergeCell ref="A59:B59"/>
    <mergeCell ref="C59:D59"/>
    <mergeCell ref="E59:K59"/>
    <mergeCell ref="A60:K60"/>
    <mergeCell ref="A64:B64"/>
    <mergeCell ref="C64:D64"/>
    <mergeCell ref="G64:K67"/>
    <mergeCell ref="F73:H73"/>
    <mergeCell ref="J73:L73"/>
    <mergeCell ref="A74:E74"/>
    <mergeCell ref="F74:H74"/>
    <mergeCell ref="J74:L74"/>
    <mergeCell ref="A68:K68"/>
    <mergeCell ref="A69:L69"/>
    <mergeCell ref="A70:J70"/>
    <mergeCell ref="K70:L70"/>
    <mergeCell ref="A71:L71"/>
    <mergeCell ref="A72:E72"/>
    <mergeCell ref="F72:H72"/>
    <mergeCell ref="I72:I74"/>
    <mergeCell ref="J72:L72"/>
    <mergeCell ref="A73:E7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opLeftCell="A45" workbookViewId="0">
      <selection activeCell="A52" sqref="A52:L52"/>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51" t="s">
        <v>27</v>
      </c>
      <c r="B6" s="150" t="s">
        <v>28</v>
      </c>
      <c r="C6" s="150" t="s">
        <v>29</v>
      </c>
      <c r="D6" s="30"/>
      <c r="E6" s="30"/>
      <c r="F6" s="30"/>
      <c r="G6" s="30"/>
      <c r="H6" s="31"/>
      <c r="I6" s="31"/>
      <c r="J6" s="31"/>
      <c r="K6" s="31"/>
      <c r="L6" s="32"/>
    </row>
    <row r="7" spans="1:12" x14ac:dyDescent="0.25">
      <c r="A7" s="41" t="s">
        <v>79</v>
      </c>
      <c r="B7" s="42" t="s">
        <v>74</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53" t="s">
        <v>40</v>
      </c>
      <c r="K13" s="153" t="s">
        <v>40</v>
      </c>
      <c r="L13" s="153" t="s">
        <v>41</v>
      </c>
    </row>
    <row r="14" spans="1:12" x14ac:dyDescent="0.25">
      <c r="A14" s="396"/>
      <c r="B14" s="397"/>
      <c r="C14" s="396"/>
      <c r="D14" s="397"/>
      <c r="E14" s="361"/>
      <c r="F14" s="362"/>
      <c r="G14" s="399"/>
      <c r="H14" s="399"/>
      <c r="I14" s="399"/>
      <c r="J14" s="154" t="s">
        <v>42</v>
      </c>
      <c r="K14" s="154" t="s">
        <v>43</v>
      </c>
      <c r="L14" s="154" t="s">
        <v>44</v>
      </c>
    </row>
    <row r="15" spans="1:12" x14ac:dyDescent="0.25">
      <c r="A15" s="385">
        <v>1</v>
      </c>
      <c r="B15" s="384"/>
      <c r="C15" s="386" t="s">
        <v>77</v>
      </c>
      <c r="D15" s="386"/>
      <c r="E15" s="383" t="s">
        <v>264</v>
      </c>
      <c r="F15" s="383"/>
      <c r="G15" s="59" t="s">
        <v>26</v>
      </c>
      <c r="H15" s="55">
        <v>1033600</v>
      </c>
      <c r="I15" s="56"/>
      <c r="J15" s="57"/>
      <c r="K15" s="57"/>
      <c r="L15" s="58">
        <f t="shared" ref="L15:L43" si="0">H15</f>
        <v>1033600</v>
      </c>
    </row>
    <row r="16" spans="1:12" x14ac:dyDescent="0.25">
      <c r="A16" s="385">
        <v>1</v>
      </c>
      <c r="B16" s="384"/>
      <c r="C16" s="386" t="s">
        <v>80</v>
      </c>
      <c r="D16" s="386"/>
      <c r="E16" s="383" t="s">
        <v>210</v>
      </c>
      <c r="F16" s="383"/>
      <c r="G16" s="59" t="s">
        <v>26</v>
      </c>
      <c r="H16" s="55">
        <v>792000</v>
      </c>
      <c r="I16" s="56"/>
      <c r="J16" s="57"/>
      <c r="K16" s="57"/>
      <c r="L16" s="58">
        <f t="shared" si="0"/>
        <v>792000</v>
      </c>
    </row>
    <row r="17" spans="1:12" x14ac:dyDescent="0.25">
      <c r="A17" s="387" t="s">
        <v>77</v>
      </c>
      <c r="B17" s="386"/>
      <c r="C17" s="384">
        <v>3</v>
      </c>
      <c r="D17" s="384"/>
      <c r="E17" s="388" t="s">
        <v>186</v>
      </c>
      <c r="F17" s="389"/>
      <c r="G17" s="156" t="s">
        <v>26</v>
      </c>
      <c r="H17" s="60">
        <v>712300</v>
      </c>
      <c r="I17" s="56"/>
      <c r="J17" s="57"/>
      <c r="K17" s="57"/>
      <c r="L17" s="58">
        <f t="shared" si="0"/>
        <v>712300</v>
      </c>
    </row>
    <row r="18" spans="1:12" x14ac:dyDescent="0.25">
      <c r="A18" s="387" t="s">
        <v>77</v>
      </c>
      <c r="B18" s="386"/>
      <c r="C18" s="384">
        <v>3</v>
      </c>
      <c r="D18" s="384"/>
      <c r="E18" s="388" t="s">
        <v>187</v>
      </c>
      <c r="F18" s="389"/>
      <c r="G18" s="156" t="s">
        <v>26</v>
      </c>
      <c r="H18" s="55">
        <v>804500</v>
      </c>
      <c r="I18" s="56"/>
      <c r="J18" s="57"/>
      <c r="K18" s="57"/>
      <c r="L18" s="58">
        <f t="shared" si="0"/>
        <v>804500</v>
      </c>
    </row>
    <row r="19" spans="1:12" x14ac:dyDescent="0.25">
      <c r="A19" s="387" t="s">
        <v>77</v>
      </c>
      <c r="B19" s="386"/>
      <c r="C19" s="384">
        <v>6</v>
      </c>
      <c r="D19" s="384"/>
      <c r="E19" s="388" t="s">
        <v>104</v>
      </c>
      <c r="F19" s="389"/>
      <c r="G19" s="156" t="s">
        <v>26</v>
      </c>
      <c r="H19" s="55">
        <v>433600</v>
      </c>
      <c r="I19" s="56"/>
      <c r="J19" s="57"/>
      <c r="K19" s="57"/>
      <c r="L19" s="58">
        <f t="shared" si="0"/>
        <v>433600</v>
      </c>
    </row>
    <row r="20" spans="1:12" x14ac:dyDescent="0.25">
      <c r="A20" s="387" t="s">
        <v>77</v>
      </c>
      <c r="B20" s="386"/>
      <c r="C20" s="322">
        <v>2</v>
      </c>
      <c r="D20" s="324"/>
      <c r="E20" s="392" t="s">
        <v>223</v>
      </c>
      <c r="F20" s="393"/>
      <c r="G20" s="156" t="s">
        <v>26</v>
      </c>
      <c r="H20" s="55">
        <v>1681500</v>
      </c>
      <c r="I20" s="56"/>
      <c r="J20" s="57"/>
      <c r="K20" s="57"/>
      <c r="L20" s="58">
        <f t="shared" si="0"/>
        <v>1681500</v>
      </c>
    </row>
    <row r="21" spans="1:12" x14ac:dyDescent="0.25">
      <c r="A21" s="385">
        <v>1</v>
      </c>
      <c r="B21" s="384"/>
      <c r="C21" s="386" t="s">
        <v>265</v>
      </c>
      <c r="D21" s="386"/>
      <c r="E21" s="383" t="s">
        <v>83</v>
      </c>
      <c r="F21" s="383"/>
      <c r="G21" s="59" t="s">
        <v>26</v>
      </c>
      <c r="H21" s="55">
        <v>636400</v>
      </c>
      <c r="I21" s="56"/>
      <c r="J21" s="57"/>
      <c r="K21" s="57"/>
      <c r="L21" s="58">
        <f t="shared" si="0"/>
        <v>636400</v>
      </c>
    </row>
    <row r="22" spans="1:12" x14ac:dyDescent="0.25">
      <c r="A22" s="375">
        <v>1</v>
      </c>
      <c r="B22" s="376"/>
      <c r="C22" s="322">
        <v>3</v>
      </c>
      <c r="D22" s="324"/>
      <c r="E22" s="383" t="s">
        <v>191</v>
      </c>
      <c r="F22" s="383"/>
      <c r="G22" s="59" t="s">
        <v>26</v>
      </c>
      <c r="H22" s="55">
        <v>332896</v>
      </c>
      <c r="I22" s="56"/>
      <c r="J22" s="57"/>
      <c r="K22" s="57"/>
      <c r="L22" s="58">
        <f t="shared" si="0"/>
        <v>332896</v>
      </c>
    </row>
    <row r="23" spans="1:12" x14ac:dyDescent="0.25">
      <c r="A23" s="375">
        <v>1</v>
      </c>
      <c r="B23" s="376"/>
      <c r="C23" s="384">
        <v>2</v>
      </c>
      <c r="D23" s="384"/>
      <c r="E23" s="383" t="s">
        <v>222</v>
      </c>
      <c r="F23" s="383"/>
      <c r="G23" s="59" t="s">
        <v>26</v>
      </c>
      <c r="H23" s="55">
        <v>663300</v>
      </c>
      <c r="I23" s="56"/>
      <c r="J23" s="57"/>
      <c r="K23" s="57"/>
      <c r="L23" s="58">
        <f t="shared" si="0"/>
        <v>663300</v>
      </c>
    </row>
    <row r="24" spans="1:12" x14ac:dyDescent="0.25">
      <c r="A24" s="375">
        <v>1</v>
      </c>
      <c r="B24" s="376"/>
      <c r="C24" s="322">
        <v>3</v>
      </c>
      <c r="D24" s="324"/>
      <c r="E24" s="392" t="s">
        <v>197</v>
      </c>
      <c r="F24" s="393"/>
      <c r="G24" s="59" t="s">
        <v>26</v>
      </c>
      <c r="H24" s="55">
        <v>481700</v>
      </c>
      <c r="I24" s="56"/>
      <c r="J24" s="57"/>
      <c r="K24" s="57"/>
      <c r="L24" s="58">
        <f t="shared" si="0"/>
        <v>481700</v>
      </c>
    </row>
    <row r="25" spans="1:12" x14ac:dyDescent="0.25">
      <c r="A25" s="375">
        <v>1</v>
      </c>
      <c r="B25" s="376"/>
      <c r="C25" s="379" t="s">
        <v>142</v>
      </c>
      <c r="D25" s="380"/>
      <c r="E25" s="381" t="s">
        <v>194</v>
      </c>
      <c r="F25" s="382"/>
      <c r="G25" s="59" t="s">
        <v>26</v>
      </c>
      <c r="H25" s="55">
        <v>728700</v>
      </c>
      <c r="I25" s="56"/>
      <c r="J25" s="57"/>
      <c r="K25" s="57"/>
      <c r="L25" s="58">
        <f t="shared" si="0"/>
        <v>728700</v>
      </c>
    </row>
    <row r="26" spans="1:12" x14ac:dyDescent="0.25">
      <c r="A26" s="375">
        <v>3</v>
      </c>
      <c r="B26" s="376"/>
      <c r="C26" s="379" t="s">
        <v>268</v>
      </c>
      <c r="D26" s="380"/>
      <c r="E26" s="381" t="s">
        <v>269</v>
      </c>
      <c r="F26" s="382"/>
      <c r="G26" s="59" t="s">
        <v>26</v>
      </c>
      <c r="H26" s="55">
        <v>4715100</v>
      </c>
      <c r="I26" s="56"/>
      <c r="J26" s="57"/>
      <c r="K26" s="57"/>
      <c r="L26" s="58">
        <f t="shared" si="0"/>
        <v>4715100</v>
      </c>
    </row>
    <row r="27" spans="1:12" x14ac:dyDescent="0.25">
      <c r="A27" s="375">
        <v>1</v>
      </c>
      <c r="B27" s="376"/>
      <c r="C27" s="322">
        <v>2</v>
      </c>
      <c r="D27" s="324"/>
      <c r="E27" s="381" t="s">
        <v>226</v>
      </c>
      <c r="F27" s="382"/>
      <c r="G27" s="156" t="s">
        <v>26</v>
      </c>
      <c r="H27" s="60">
        <v>1011300</v>
      </c>
      <c r="I27" s="56"/>
      <c r="J27" s="57"/>
      <c r="K27" s="57"/>
      <c r="L27" s="58">
        <f t="shared" si="0"/>
        <v>1011300</v>
      </c>
    </row>
    <row r="28" spans="1:12" x14ac:dyDescent="0.25">
      <c r="A28" s="375">
        <v>1</v>
      </c>
      <c r="B28" s="376"/>
      <c r="C28" s="322">
        <v>1</v>
      </c>
      <c r="D28" s="324"/>
      <c r="E28" s="383" t="s">
        <v>270</v>
      </c>
      <c r="F28" s="383"/>
      <c r="G28" s="156" t="s">
        <v>26</v>
      </c>
      <c r="H28" s="60">
        <v>1949300</v>
      </c>
      <c r="I28" s="56"/>
      <c r="J28" s="57"/>
      <c r="K28" s="57"/>
      <c r="L28" s="58">
        <f t="shared" si="0"/>
        <v>1949300</v>
      </c>
    </row>
    <row r="29" spans="1:12" x14ac:dyDescent="0.25">
      <c r="A29" s="375">
        <v>1</v>
      </c>
      <c r="B29" s="376"/>
      <c r="C29" s="379" t="s">
        <v>158</v>
      </c>
      <c r="D29" s="380"/>
      <c r="E29" s="377" t="s">
        <v>132</v>
      </c>
      <c r="F29" s="378"/>
      <c r="G29" s="156" t="s">
        <v>26</v>
      </c>
      <c r="H29" s="60">
        <v>564700</v>
      </c>
      <c r="I29" s="56"/>
      <c r="J29" s="57"/>
      <c r="K29" s="57"/>
      <c r="L29" s="58">
        <f t="shared" si="0"/>
        <v>564700</v>
      </c>
    </row>
    <row r="30" spans="1:12" x14ac:dyDescent="0.25">
      <c r="A30" s="375">
        <v>1</v>
      </c>
      <c r="B30" s="376"/>
      <c r="C30" s="411" t="s">
        <v>158</v>
      </c>
      <c r="D30" s="412"/>
      <c r="E30" s="381" t="s">
        <v>138</v>
      </c>
      <c r="F30" s="382"/>
      <c r="G30" s="156" t="s">
        <v>26</v>
      </c>
      <c r="H30" s="60">
        <v>581200</v>
      </c>
      <c r="I30" s="56"/>
      <c r="J30" s="57"/>
      <c r="K30" s="57"/>
      <c r="L30" s="58">
        <f t="shared" si="0"/>
        <v>581200</v>
      </c>
    </row>
    <row r="31" spans="1:12" x14ac:dyDescent="0.25">
      <c r="A31" s="375">
        <v>1</v>
      </c>
      <c r="B31" s="376"/>
      <c r="C31" s="375">
        <v>4</v>
      </c>
      <c r="D31" s="376"/>
      <c r="E31" s="381" t="s">
        <v>184</v>
      </c>
      <c r="F31" s="382"/>
      <c r="G31" s="156" t="s">
        <v>26</v>
      </c>
      <c r="H31" s="60">
        <v>782600</v>
      </c>
      <c r="I31" s="56"/>
      <c r="J31" s="57"/>
      <c r="K31" s="57"/>
      <c r="L31" s="58">
        <f t="shared" si="0"/>
        <v>782600</v>
      </c>
    </row>
    <row r="32" spans="1:12" x14ac:dyDescent="0.25">
      <c r="A32" s="375">
        <v>1</v>
      </c>
      <c r="B32" s="376"/>
      <c r="C32" s="375">
        <v>7</v>
      </c>
      <c r="D32" s="376"/>
      <c r="E32" s="381" t="s">
        <v>89</v>
      </c>
      <c r="F32" s="382"/>
      <c r="G32" s="156" t="s">
        <v>26</v>
      </c>
      <c r="H32" s="60">
        <v>1060500</v>
      </c>
      <c r="I32" s="56"/>
      <c r="J32" s="57"/>
      <c r="K32" s="57"/>
      <c r="L32" s="58">
        <f t="shared" si="0"/>
        <v>1060500</v>
      </c>
    </row>
    <row r="33" spans="1:12" x14ac:dyDescent="0.25">
      <c r="A33" s="375">
        <v>1</v>
      </c>
      <c r="B33" s="376"/>
      <c r="C33" s="375">
        <v>8</v>
      </c>
      <c r="D33" s="376"/>
      <c r="E33" s="381" t="s">
        <v>72</v>
      </c>
      <c r="F33" s="382"/>
      <c r="G33" s="156" t="s">
        <v>26</v>
      </c>
      <c r="H33" s="60">
        <v>672300</v>
      </c>
      <c r="I33" s="56"/>
      <c r="J33" s="57"/>
      <c r="K33" s="57"/>
      <c r="L33" s="58">
        <f t="shared" si="0"/>
        <v>672300</v>
      </c>
    </row>
    <row r="34" spans="1:12" x14ac:dyDescent="0.25">
      <c r="A34" s="375">
        <v>1</v>
      </c>
      <c r="B34" s="376"/>
      <c r="C34" s="411" t="s">
        <v>80</v>
      </c>
      <c r="D34" s="412"/>
      <c r="E34" s="381" t="s">
        <v>227</v>
      </c>
      <c r="F34" s="382"/>
      <c r="G34" s="156" t="s">
        <v>26</v>
      </c>
      <c r="H34" s="60">
        <v>583128</v>
      </c>
      <c r="I34" s="56"/>
      <c r="J34" s="57"/>
      <c r="K34" s="57"/>
      <c r="L34" s="58">
        <f t="shared" si="0"/>
        <v>583128</v>
      </c>
    </row>
    <row r="35" spans="1:12" x14ac:dyDescent="0.25">
      <c r="A35" s="375">
        <v>1</v>
      </c>
      <c r="B35" s="376"/>
      <c r="C35" s="375">
        <v>5</v>
      </c>
      <c r="D35" s="376"/>
      <c r="E35" s="381" t="s">
        <v>105</v>
      </c>
      <c r="F35" s="382"/>
      <c r="G35" s="156" t="s">
        <v>26</v>
      </c>
      <c r="H35" s="60">
        <v>497591</v>
      </c>
      <c r="I35" s="56"/>
      <c r="J35" s="57"/>
      <c r="K35" s="57"/>
      <c r="L35" s="58">
        <f t="shared" si="0"/>
        <v>497591</v>
      </c>
    </row>
    <row r="36" spans="1:12" x14ac:dyDescent="0.25">
      <c r="A36" s="375">
        <v>1</v>
      </c>
      <c r="B36" s="376"/>
      <c r="C36" s="411" t="s">
        <v>206</v>
      </c>
      <c r="D36" s="412"/>
      <c r="E36" s="381" t="s">
        <v>105</v>
      </c>
      <c r="F36" s="382"/>
      <c r="G36" s="156" t="s">
        <v>26</v>
      </c>
      <c r="H36" s="60">
        <v>480300</v>
      </c>
      <c r="I36" s="56"/>
      <c r="J36" s="57"/>
      <c r="K36" s="57"/>
      <c r="L36" s="58">
        <f t="shared" si="0"/>
        <v>480300</v>
      </c>
    </row>
    <row r="37" spans="1:12" x14ac:dyDescent="0.25">
      <c r="A37" s="375">
        <v>1</v>
      </c>
      <c r="B37" s="376"/>
      <c r="C37" s="375">
        <v>2</v>
      </c>
      <c r="D37" s="376"/>
      <c r="E37" s="381" t="s">
        <v>250</v>
      </c>
      <c r="F37" s="382"/>
      <c r="G37" s="156" t="s">
        <v>26</v>
      </c>
      <c r="H37" s="60">
        <v>605800</v>
      </c>
      <c r="I37" s="56"/>
      <c r="J37" s="57"/>
      <c r="K37" s="57"/>
      <c r="L37" s="58">
        <f t="shared" si="0"/>
        <v>605800</v>
      </c>
    </row>
    <row r="38" spans="1:12" x14ac:dyDescent="0.25">
      <c r="A38" s="375">
        <v>1</v>
      </c>
      <c r="B38" s="376"/>
      <c r="C38" s="322">
        <v>3</v>
      </c>
      <c r="D38" s="324"/>
      <c r="E38" s="392" t="s">
        <v>249</v>
      </c>
      <c r="F38" s="393"/>
      <c r="G38" s="156" t="s">
        <v>26</v>
      </c>
      <c r="H38" s="60">
        <v>287300</v>
      </c>
      <c r="I38" s="56"/>
      <c r="J38" s="57"/>
      <c r="K38" s="57"/>
      <c r="L38" s="58">
        <f t="shared" si="0"/>
        <v>287300</v>
      </c>
    </row>
    <row r="39" spans="1:12" x14ac:dyDescent="0.25">
      <c r="A39" s="375">
        <v>2</v>
      </c>
      <c r="B39" s="376"/>
      <c r="C39" s="379" t="s">
        <v>272</v>
      </c>
      <c r="D39" s="380"/>
      <c r="E39" s="381" t="s">
        <v>178</v>
      </c>
      <c r="F39" s="382"/>
      <c r="G39" s="156" t="s">
        <v>26</v>
      </c>
      <c r="H39" s="60">
        <v>1734600</v>
      </c>
      <c r="I39" s="56"/>
      <c r="J39" s="57"/>
      <c r="K39" s="57"/>
      <c r="L39" s="58">
        <f t="shared" si="0"/>
        <v>1734600</v>
      </c>
    </row>
    <row r="40" spans="1:12" x14ac:dyDescent="0.25">
      <c r="A40" s="390"/>
      <c r="B40" s="391"/>
      <c r="C40" s="322"/>
      <c r="D40" s="324"/>
      <c r="E40" s="392"/>
      <c r="F40" s="393"/>
      <c r="G40" s="156"/>
      <c r="H40" s="60"/>
      <c r="I40" s="56"/>
      <c r="J40" s="57"/>
      <c r="K40" s="57"/>
      <c r="L40" s="58">
        <f t="shared" si="0"/>
        <v>0</v>
      </c>
    </row>
    <row r="41" spans="1:12" x14ac:dyDescent="0.25">
      <c r="A41" s="375"/>
      <c r="B41" s="376"/>
      <c r="C41" s="375"/>
      <c r="D41" s="376"/>
      <c r="E41" s="381"/>
      <c r="F41" s="382"/>
      <c r="G41" s="156"/>
      <c r="H41" s="60"/>
      <c r="I41" s="56"/>
      <c r="J41" s="57"/>
      <c r="K41" s="57"/>
      <c r="L41" s="58">
        <f t="shared" si="0"/>
        <v>0</v>
      </c>
    </row>
    <row r="42" spans="1:12" x14ac:dyDescent="0.25">
      <c r="A42" s="375"/>
      <c r="B42" s="376"/>
      <c r="C42" s="375"/>
      <c r="D42" s="376"/>
      <c r="E42" s="381"/>
      <c r="F42" s="382"/>
      <c r="G42" s="156"/>
      <c r="H42" s="60"/>
      <c r="I42" s="56"/>
      <c r="J42" s="57"/>
      <c r="K42" s="57"/>
      <c r="L42" s="58">
        <f t="shared" si="0"/>
        <v>0</v>
      </c>
    </row>
    <row r="43" spans="1:12" x14ac:dyDescent="0.25">
      <c r="A43" s="375"/>
      <c r="B43" s="376"/>
      <c r="C43" s="375"/>
      <c r="D43" s="376"/>
      <c r="E43" s="381"/>
      <c r="F43" s="382"/>
      <c r="G43" s="156"/>
      <c r="H43" s="60"/>
      <c r="I43" s="56"/>
      <c r="J43" s="57"/>
      <c r="K43" s="57"/>
      <c r="L43" s="58">
        <f t="shared" si="0"/>
        <v>0</v>
      </c>
    </row>
    <row r="44" spans="1:12" x14ac:dyDescent="0.25">
      <c r="A44" s="322"/>
      <c r="B44" s="324"/>
      <c r="C44" s="61" t="s">
        <v>45</v>
      </c>
      <c r="D44" s="62"/>
      <c r="E44" s="62"/>
      <c r="F44" s="62"/>
      <c r="G44" s="62"/>
      <c r="H44" s="63">
        <f>SUM(H15:H43)</f>
        <v>23826215</v>
      </c>
      <c r="I44" s="334"/>
      <c r="J44" s="335"/>
      <c r="K44" s="336"/>
      <c r="L44" s="63">
        <f>SUM(L15:L43)</f>
        <v>23826215</v>
      </c>
    </row>
    <row r="45" spans="1:12" x14ac:dyDescent="0.25">
      <c r="A45" s="64"/>
      <c r="B45" s="38"/>
      <c r="C45" s="29"/>
      <c r="D45" s="30"/>
      <c r="E45" s="30"/>
      <c r="F45" s="30"/>
      <c r="G45" s="30"/>
      <c r="H45" s="31"/>
      <c r="I45" s="31"/>
      <c r="J45" s="31"/>
      <c r="K45" s="31"/>
      <c r="L45" s="32"/>
    </row>
    <row r="46" spans="1:12" x14ac:dyDescent="0.25">
      <c r="A46" s="48" t="s">
        <v>46</v>
      </c>
      <c r="B46" s="38"/>
      <c r="C46" s="29"/>
      <c r="D46" s="30"/>
      <c r="E46" s="30"/>
      <c r="F46" s="30"/>
      <c r="G46" s="30"/>
      <c r="H46" s="31"/>
      <c r="I46" s="31"/>
      <c r="J46" s="31"/>
      <c r="K46" s="31"/>
      <c r="L46" s="32"/>
    </row>
    <row r="47" spans="1:12" x14ac:dyDescent="0.25">
      <c r="A47" s="48"/>
      <c r="B47" s="30"/>
      <c r="C47" s="30"/>
      <c r="D47" s="30"/>
      <c r="E47" s="30"/>
      <c r="F47" s="30"/>
      <c r="G47" s="30"/>
      <c r="H47" s="31"/>
      <c r="I47" s="31"/>
      <c r="J47" s="31"/>
      <c r="K47" s="31"/>
      <c r="L47" s="32"/>
    </row>
    <row r="48" spans="1:12" x14ac:dyDescent="0.25">
      <c r="A48" s="357" t="s">
        <v>47</v>
      </c>
      <c r="B48" s="358"/>
      <c r="C48" s="363" t="s">
        <v>48</v>
      </c>
      <c r="D48" s="364"/>
      <c r="E48" s="357" t="s">
        <v>49</v>
      </c>
      <c r="F48" s="369"/>
      <c r="G48" s="369"/>
      <c r="H48" s="369"/>
      <c r="I48" s="369"/>
      <c r="J48" s="369"/>
      <c r="K48" s="358"/>
      <c r="L48" s="372" t="s">
        <v>50</v>
      </c>
    </row>
    <row r="49" spans="1:13" x14ac:dyDescent="0.25">
      <c r="A49" s="359"/>
      <c r="B49" s="360"/>
      <c r="C49" s="365"/>
      <c r="D49" s="366"/>
      <c r="E49" s="359"/>
      <c r="F49" s="370"/>
      <c r="G49" s="370"/>
      <c r="H49" s="370"/>
      <c r="I49" s="370"/>
      <c r="J49" s="370"/>
      <c r="K49" s="360"/>
      <c r="L49" s="373"/>
    </row>
    <row r="50" spans="1:13" x14ac:dyDescent="0.25">
      <c r="A50" s="361"/>
      <c r="B50" s="362"/>
      <c r="C50" s="367"/>
      <c r="D50" s="368"/>
      <c r="E50" s="361"/>
      <c r="F50" s="371"/>
      <c r="G50" s="371"/>
      <c r="H50" s="371"/>
      <c r="I50" s="371"/>
      <c r="J50" s="371"/>
      <c r="K50" s="362"/>
      <c r="L50" s="374"/>
    </row>
    <row r="51" spans="1:13" s="33" customFormat="1" x14ac:dyDescent="0.25">
      <c r="A51" s="352">
        <v>45923</v>
      </c>
      <c r="B51" s="353"/>
      <c r="C51" s="322">
        <v>2721</v>
      </c>
      <c r="D51" s="324"/>
      <c r="E51" s="354" t="s">
        <v>266</v>
      </c>
      <c r="F51" s="355"/>
      <c r="G51" s="355"/>
      <c r="H51" s="355"/>
      <c r="I51" s="355"/>
      <c r="J51" s="355"/>
      <c r="K51" s="356"/>
      <c r="L51" s="55">
        <v>8375000</v>
      </c>
    </row>
    <row r="52" spans="1:13" s="33" customFormat="1" x14ac:dyDescent="0.25">
      <c r="A52" s="352">
        <v>45938</v>
      </c>
      <c r="B52" s="353"/>
      <c r="C52" s="322" t="s">
        <v>100</v>
      </c>
      <c r="D52" s="324"/>
      <c r="E52" s="354" t="s">
        <v>271</v>
      </c>
      <c r="F52" s="355"/>
      <c r="G52" s="355"/>
      <c r="H52" s="355"/>
      <c r="I52" s="355"/>
      <c r="J52" s="355"/>
      <c r="K52" s="356"/>
      <c r="L52" s="55">
        <v>200000</v>
      </c>
    </row>
    <row r="53" spans="1:13" x14ac:dyDescent="0.25">
      <c r="A53" s="352">
        <v>45934</v>
      </c>
      <c r="B53" s="353"/>
      <c r="C53" s="322" t="s">
        <v>100</v>
      </c>
      <c r="D53" s="324"/>
      <c r="E53" s="354" t="s">
        <v>244</v>
      </c>
      <c r="F53" s="355"/>
      <c r="G53" s="355"/>
      <c r="H53" s="355"/>
      <c r="I53" s="355"/>
      <c r="J53" s="355"/>
      <c r="K53" s="356"/>
      <c r="L53" s="55">
        <v>15251215</v>
      </c>
      <c r="M53" s="33"/>
    </row>
    <row r="54" spans="1:13" x14ac:dyDescent="0.25">
      <c r="A54" s="352"/>
      <c r="B54" s="353"/>
      <c r="C54" s="322"/>
      <c r="D54" s="324"/>
      <c r="E54" s="354"/>
      <c r="F54" s="355"/>
      <c r="G54" s="355"/>
      <c r="H54" s="355"/>
      <c r="I54" s="355"/>
      <c r="J54" s="355"/>
      <c r="K54" s="356"/>
      <c r="L54" s="55"/>
    </row>
    <row r="55" spans="1:13" x14ac:dyDescent="0.25">
      <c r="A55" s="352"/>
      <c r="B55" s="353"/>
      <c r="C55" s="322"/>
      <c r="D55" s="324"/>
      <c r="E55" s="354"/>
      <c r="F55" s="355"/>
      <c r="G55" s="355"/>
      <c r="H55" s="355"/>
      <c r="I55" s="355"/>
      <c r="J55" s="355"/>
      <c r="K55" s="356"/>
      <c r="L55" s="55"/>
    </row>
    <row r="56" spans="1:13" x14ac:dyDescent="0.25">
      <c r="A56" s="352"/>
      <c r="B56" s="353"/>
      <c r="C56" s="322"/>
      <c r="D56" s="324"/>
      <c r="E56" s="354"/>
      <c r="F56" s="355"/>
      <c r="G56" s="355"/>
      <c r="H56" s="355"/>
      <c r="I56" s="355"/>
      <c r="J56" s="355"/>
      <c r="K56" s="356"/>
      <c r="L56" s="55"/>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x14ac:dyDescent="0.25">
      <c r="A60" s="334" t="s">
        <v>51</v>
      </c>
      <c r="B60" s="335"/>
      <c r="C60" s="335"/>
      <c r="D60" s="335"/>
      <c r="E60" s="335"/>
      <c r="F60" s="335"/>
      <c r="G60" s="335"/>
      <c r="H60" s="335"/>
      <c r="I60" s="335"/>
      <c r="J60" s="335"/>
      <c r="K60" s="336"/>
      <c r="L60" s="63">
        <f>SUM(L51:L59)</f>
        <v>23826215</v>
      </c>
    </row>
    <row r="61" spans="1:13" x14ac:dyDescent="0.25">
      <c r="A61" s="65"/>
      <c r="B61" s="66"/>
      <c r="C61" s="66"/>
      <c r="D61" s="66"/>
      <c r="E61" s="66"/>
      <c r="F61" s="66"/>
      <c r="G61" s="66"/>
      <c r="H61" s="31"/>
      <c r="I61" s="31"/>
      <c r="J61" s="31"/>
      <c r="K61" s="31"/>
      <c r="L61" s="31"/>
    </row>
    <row r="62" spans="1:13" x14ac:dyDescent="0.25">
      <c r="A62" s="48" t="s">
        <v>52</v>
      </c>
      <c r="B62" s="30"/>
      <c r="C62" s="30"/>
      <c r="D62" s="30"/>
      <c r="E62" s="30"/>
      <c r="F62" s="30"/>
      <c r="G62" s="30"/>
      <c r="H62" s="31"/>
      <c r="I62" s="31"/>
      <c r="J62" s="31"/>
      <c r="K62" s="31"/>
      <c r="L62" s="31"/>
    </row>
    <row r="63" spans="1:13" x14ac:dyDescent="0.25">
      <c r="A63" s="44"/>
      <c r="B63" s="45"/>
      <c r="C63" s="45"/>
      <c r="D63" s="45"/>
      <c r="E63" s="45"/>
      <c r="F63" s="45"/>
      <c r="G63" s="45"/>
      <c r="H63" s="31"/>
      <c r="I63" s="31"/>
      <c r="J63" s="46"/>
      <c r="K63" s="46"/>
      <c r="L63" s="31"/>
    </row>
    <row r="64" spans="1:13" x14ac:dyDescent="0.25">
      <c r="A64" s="337" t="s">
        <v>53</v>
      </c>
      <c r="B64" s="338"/>
      <c r="C64" s="337" t="s">
        <v>54</v>
      </c>
      <c r="D64" s="338"/>
      <c r="E64" s="152" t="s">
        <v>55</v>
      </c>
      <c r="F64" s="68" t="s">
        <v>37</v>
      </c>
      <c r="G64" s="339"/>
      <c r="H64" s="340"/>
      <c r="I64" s="340"/>
      <c r="J64" s="340"/>
      <c r="K64" s="341"/>
      <c r="L64" s="348" t="s">
        <v>56</v>
      </c>
    </row>
    <row r="65" spans="1:13" x14ac:dyDescent="0.25">
      <c r="A65" s="316"/>
      <c r="B65" s="317"/>
      <c r="C65" s="350" t="s">
        <v>57</v>
      </c>
      <c r="D65" s="351"/>
      <c r="E65" s="69"/>
      <c r="F65" s="44"/>
      <c r="G65" s="342"/>
      <c r="H65" s="343"/>
      <c r="I65" s="343"/>
      <c r="J65" s="343"/>
      <c r="K65" s="344"/>
      <c r="L65" s="349"/>
    </row>
    <row r="66" spans="1:13" x14ac:dyDescent="0.25">
      <c r="A66" s="310"/>
      <c r="B66" s="312"/>
      <c r="C66" s="310"/>
      <c r="D66" s="312"/>
      <c r="E66" s="70"/>
      <c r="F66" s="155"/>
      <c r="G66" s="342"/>
      <c r="H66" s="343"/>
      <c r="I66" s="343"/>
      <c r="J66" s="343"/>
      <c r="K66" s="344"/>
      <c r="L66" s="55"/>
    </row>
    <row r="67" spans="1:13" x14ac:dyDescent="0.25">
      <c r="A67" s="310"/>
      <c r="B67" s="312"/>
      <c r="C67" s="310"/>
      <c r="D67" s="312"/>
      <c r="E67" s="70"/>
      <c r="F67" s="64"/>
      <c r="G67" s="345"/>
      <c r="H67" s="346"/>
      <c r="I67" s="346"/>
      <c r="J67" s="346"/>
      <c r="K67" s="347"/>
      <c r="L67" s="72"/>
    </row>
    <row r="68" spans="1:13" x14ac:dyDescent="0.25">
      <c r="A68" s="322" t="s">
        <v>41</v>
      </c>
      <c r="B68" s="323"/>
      <c r="C68" s="323"/>
      <c r="D68" s="323"/>
      <c r="E68" s="323"/>
      <c r="F68" s="323"/>
      <c r="G68" s="323"/>
      <c r="H68" s="323"/>
      <c r="I68" s="323"/>
      <c r="J68" s="323"/>
      <c r="K68" s="324"/>
      <c r="L68" s="73">
        <f>SUM(L66:L67)</f>
        <v>0</v>
      </c>
    </row>
    <row r="69" spans="1:13" x14ac:dyDescent="0.25">
      <c r="A69" s="325"/>
      <c r="B69" s="326"/>
      <c r="C69" s="326"/>
      <c r="D69" s="326"/>
      <c r="E69" s="326"/>
      <c r="F69" s="326"/>
      <c r="G69" s="326"/>
      <c r="H69" s="326"/>
      <c r="I69" s="326"/>
      <c r="J69" s="326"/>
      <c r="K69" s="326"/>
      <c r="L69" s="326"/>
    </row>
    <row r="70" spans="1:13" x14ac:dyDescent="0.25">
      <c r="A70" s="327" t="s">
        <v>58</v>
      </c>
      <c r="B70" s="328"/>
      <c r="C70" s="328"/>
      <c r="D70" s="328"/>
      <c r="E70" s="328"/>
      <c r="F70" s="328"/>
      <c r="G70" s="328"/>
      <c r="H70" s="328"/>
      <c r="I70" s="328"/>
      <c r="J70" s="329"/>
      <c r="K70" s="330">
        <f>K9+L44-L60-L68</f>
        <v>0</v>
      </c>
      <c r="L70" s="330"/>
    </row>
    <row r="71" spans="1:13" x14ac:dyDescent="0.25">
      <c r="A71" s="331"/>
      <c r="B71" s="332"/>
      <c r="C71" s="332"/>
      <c r="D71" s="332"/>
      <c r="E71" s="332"/>
      <c r="F71" s="332"/>
      <c r="G71" s="332"/>
      <c r="H71" s="332"/>
      <c r="I71" s="332"/>
      <c r="J71" s="332"/>
      <c r="K71" s="332"/>
      <c r="L71" s="333"/>
    </row>
    <row r="72" spans="1:13" x14ac:dyDescent="0.25">
      <c r="A72" s="305" t="s">
        <v>59</v>
      </c>
      <c r="B72" s="305"/>
      <c r="C72" s="305"/>
      <c r="D72" s="305"/>
      <c r="E72" s="305"/>
      <c r="F72" s="305" t="s">
        <v>60</v>
      </c>
      <c r="G72" s="305"/>
      <c r="H72" s="305"/>
      <c r="I72" s="306"/>
      <c r="J72" s="309" t="s">
        <v>61</v>
      </c>
      <c r="K72" s="309"/>
      <c r="L72" s="309"/>
    </row>
    <row r="73" spans="1:13" x14ac:dyDescent="0.25">
      <c r="A73" s="310"/>
      <c r="B73" s="311"/>
      <c r="C73" s="311"/>
      <c r="D73" s="311"/>
      <c r="E73" s="312"/>
      <c r="F73" s="310"/>
      <c r="G73" s="311"/>
      <c r="H73" s="312"/>
      <c r="I73" s="307"/>
      <c r="J73" s="313"/>
      <c r="K73" s="314"/>
      <c r="L73" s="315"/>
      <c r="M73" s="74"/>
    </row>
    <row r="74" spans="1:13" x14ac:dyDescent="0.25">
      <c r="A74" s="316"/>
      <c r="B74" s="317"/>
      <c r="C74" s="317"/>
      <c r="D74" s="317"/>
      <c r="E74" s="318"/>
      <c r="F74" s="316"/>
      <c r="G74" s="317"/>
      <c r="H74" s="318"/>
      <c r="I74" s="308"/>
      <c r="J74" s="319"/>
      <c r="K74" s="320"/>
      <c r="L74" s="321"/>
    </row>
    <row r="75" spans="1:13" x14ac:dyDescent="0.25">
      <c r="A75" s="33"/>
      <c r="B75" s="33"/>
      <c r="C75" s="33"/>
      <c r="D75" s="33"/>
      <c r="E75" s="33"/>
      <c r="F75" s="33"/>
      <c r="G75" s="33"/>
      <c r="H75" s="75"/>
      <c r="I75" s="75"/>
      <c r="J75" s="75"/>
      <c r="K75" s="75"/>
      <c r="L75" s="75"/>
    </row>
  </sheetData>
  <mergeCells count="158">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39:B39"/>
    <mergeCell ref="C39:D39"/>
    <mergeCell ref="E39:F39"/>
    <mergeCell ref="A40:B40"/>
    <mergeCell ref="C40:D40"/>
    <mergeCell ref="E40:F40"/>
    <mergeCell ref="A37:B37"/>
    <mergeCell ref="C37:D37"/>
    <mergeCell ref="E37:F37"/>
    <mergeCell ref="A38:B38"/>
    <mergeCell ref="C38:D38"/>
    <mergeCell ref="E38:F38"/>
    <mergeCell ref="A43:B43"/>
    <mergeCell ref="C43:D43"/>
    <mergeCell ref="E43:F43"/>
    <mergeCell ref="A44:B44"/>
    <mergeCell ref="I44:K44"/>
    <mergeCell ref="A48:B50"/>
    <mergeCell ref="C48:D50"/>
    <mergeCell ref="E48:K50"/>
    <mergeCell ref="A41:B41"/>
    <mergeCell ref="C41:D41"/>
    <mergeCell ref="E41:F41"/>
    <mergeCell ref="A42:B42"/>
    <mergeCell ref="C42:D42"/>
    <mergeCell ref="E42:F42"/>
    <mergeCell ref="A53:B53"/>
    <mergeCell ref="C53:D53"/>
    <mergeCell ref="E53:K53"/>
    <mergeCell ref="A54:B54"/>
    <mergeCell ref="C54:D54"/>
    <mergeCell ref="E54:K54"/>
    <mergeCell ref="L48:L50"/>
    <mergeCell ref="A51:B51"/>
    <mergeCell ref="C51:D51"/>
    <mergeCell ref="E51:K51"/>
    <mergeCell ref="A52:B52"/>
    <mergeCell ref="C52:D52"/>
    <mergeCell ref="E52:K52"/>
    <mergeCell ref="A57:B57"/>
    <mergeCell ref="C57:D57"/>
    <mergeCell ref="E57:K57"/>
    <mergeCell ref="A58:B58"/>
    <mergeCell ref="C58:D58"/>
    <mergeCell ref="E58:K58"/>
    <mergeCell ref="A55:B55"/>
    <mergeCell ref="C55:D55"/>
    <mergeCell ref="E55:K55"/>
    <mergeCell ref="A56:B56"/>
    <mergeCell ref="C56:D56"/>
    <mergeCell ref="E56:K56"/>
    <mergeCell ref="L64:L65"/>
    <mergeCell ref="A65:B65"/>
    <mergeCell ref="C65:D65"/>
    <mergeCell ref="A66:B66"/>
    <mergeCell ref="C66:D66"/>
    <mergeCell ref="A67:B67"/>
    <mergeCell ref="C67:D67"/>
    <mergeCell ref="A59:B59"/>
    <mergeCell ref="C59:D59"/>
    <mergeCell ref="E59:K59"/>
    <mergeCell ref="A60:K60"/>
    <mergeCell ref="A64:B64"/>
    <mergeCell ref="C64:D64"/>
    <mergeCell ref="G64:K67"/>
    <mergeCell ref="F73:H73"/>
    <mergeCell ref="J73:L73"/>
    <mergeCell ref="A74:E74"/>
    <mergeCell ref="F74:H74"/>
    <mergeCell ref="J74:L74"/>
    <mergeCell ref="A68:K68"/>
    <mergeCell ref="A69:L69"/>
    <mergeCell ref="A70:J70"/>
    <mergeCell ref="K70:L70"/>
    <mergeCell ref="A71:L71"/>
    <mergeCell ref="A72:E72"/>
    <mergeCell ref="F72:H72"/>
    <mergeCell ref="I72:I74"/>
    <mergeCell ref="J72:L72"/>
    <mergeCell ref="A73:E7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0"/>
  <sheetViews>
    <sheetView topLeftCell="A55" workbookViewId="0">
      <selection activeCell="A58" sqref="A58:F58"/>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58" t="s">
        <v>27</v>
      </c>
      <c r="B6" s="157" t="s">
        <v>28</v>
      </c>
      <c r="C6" s="157" t="s">
        <v>29</v>
      </c>
      <c r="D6" s="30"/>
      <c r="E6" s="30"/>
      <c r="F6" s="30"/>
      <c r="G6" s="30"/>
      <c r="H6" s="31"/>
      <c r="I6" s="31"/>
      <c r="J6" s="31"/>
      <c r="K6" s="31"/>
      <c r="L6" s="32"/>
    </row>
    <row r="7" spans="1:12" x14ac:dyDescent="0.25">
      <c r="A7" s="41" t="s">
        <v>214</v>
      </c>
      <c r="B7" s="42" t="s">
        <v>273</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60" t="s">
        <v>40</v>
      </c>
      <c r="K13" s="160" t="s">
        <v>40</v>
      </c>
      <c r="L13" s="160" t="s">
        <v>41</v>
      </c>
    </row>
    <row r="14" spans="1:12" x14ac:dyDescent="0.25">
      <c r="A14" s="396"/>
      <c r="B14" s="397"/>
      <c r="C14" s="396"/>
      <c r="D14" s="397"/>
      <c r="E14" s="361"/>
      <c r="F14" s="362"/>
      <c r="G14" s="399"/>
      <c r="H14" s="399"/>
      <c r="I14" s="399"/>
      <c r="J14" s="161" t="s">
        <v>42</v>
      </c>
      <c r="K14" s="161" t="s">
        <v>43</v>
      </c>
      <c r="L14" s="161" t="s">
        <v>44</v>
      </c>
    </row>
    <row r="15" spans="1:12" x14ac:dyDescent="0.25">
      <c r="A15" s="385">
        <v>1</v>
      </c>
      <c r="B15" s="384"/>
      <c r="C15" s="386" t="s">
        <v>142</v>
      </c>
      <c r="D15" s="386"/>
      <c r="E15" s="383" t="s">
        <v>250</v>
      </c>
      <c r="F15" s="383"/>
      <c r="G15" s="59" t="s">
        <v>240</v>
      </c>
      <c r="H15" s="55">
        <v>610646</v>
      </c>
      <c r="I15" s="56"/>
      <c r="J15" s="57"/>
      <c r="K15" s="57"/>
      <c r="L15" s="58">
        <f t="shared" ref="L15:L58" si="0">H15</f>
        <v>610646</v>
      </c>
    </row>
    <row r="16" spans="1:12" x14ac:dyDescent="0.25">
      <c r="A16" s="385">
        <v>1</v>
      </c>
      <c r="B16" s="384"/>
      <c r="C16" s="386" t="s">
        <v>188</v>
      </c>
      <c r="D16" s="386"/>
      <c r="E16" s="383" t="s">
        <v>192</v>
      </c>
      <c r="F16" s="383"/>
      <c r="G16" s="59" t="s">
        <v>26</v>
      </c>
      <c r="H16" s="55">
        <v>425600</v>
      </c>
      <c r="I16" s="56"/>
      <c r="J16" s="57"/>
      <c r="K16" s="57"/>
      <c r="L16" s="58">
        <f t="shared" si="0"/>
        <v>425600</v>
      </c>
    </row>
    <row r="17" spans="1:12" x14ac:dyDescent="0.25">
      <c r="A17" s="387" t="s">
        <v>77</v>
      </c>
      <c r="B17" s="386"/>
      <c r="C17" s="384">
        <v>8</v>
      </c>
      <c r="D17" s="384"/>
      <c r="E17" s="388" t="s">
        <v>83</v>
      </c>
      <c r="F17" s="389"/>
      <c r="G17" s="163" t="s">
        <v>26</v>
      </c>
      <c r="H17" s="60">
        <v>636400</v>
      </c>
      <c r="I17" s="56"/>
      <c r="J17" s="57"/>
      <c r="K17" s="57"/>
      <c r="L17" s="58">
        <f t="shared" si="0"/>
        <v>636400</v>
      </c>
    </row>
    <row r="18" spans="1:12" x14ac:dyDescent="0.25">
      <c r="A18" s="387" t="s">
        <v>77</v>
      </c>
      <c r="B18" s="386"/>
      <c r="C18" s="384">
        <v>2</v>
      </c>
      <c r="D18" s="384"/>
      <c r="E18" s="388" t="s">
        <v>103</v>
      </c>
      <c r="F18" s="389"/>
      <c r="G18" s="163" t="s">
        <v>26</v>
      </c>
      <c r="H18" s="55">
        <v>1389700</v>
      </c>
      <c r="I18" s="56"/>
      <c r="J18" s="57"/>
      <c r="K18" s="57"/>
      <c r="L18" s="58">
        <f t="shared" si="0"/>
        <v>1389700</v>
      </c>
    </row>
    <row r="19" spans="1:12" x14ac:dyDescent="0.25">
      <c r="A19" s="387" t="s">
        <v>77</v>
      </c>
      <c r="B19" s="386"/>
      <c r="C19" s="384">
        <v>4</v>
      </c>
      <c r="D19" s="384"/>
      <c r="E19" s="388" t="s">
        <v>193</v>
      </c>
      <c r="F19" s="389"/>
      <c r="G19" s="163" t="s">
        <v>26</v>
      </c>
      <c r="H19" s="55">
        <v>904200</v>
      </c>
      <c r="I19" s="56"/>
      <c r="J19" s="57"/>
      <c r="K19" s="57"/>
      <c r="L19" s="58">
        <f t="shared" si="0"/>
        <v>904200</v>
      </c>
    </row>
    <row r="20" spans="1:12" x14ac:dyDescent="0.25">
      <c r="A20" s="387" t="s">
        <v>77</v>
      </c>
      <c r="B20" s="386"/>
      <c r="C20" s="322">
        <v>2</v>
      </c>
      <c r="D20" s="324"/>
      <c r="E20" s="392" t="s">
        <v>251</v>
      </c>
      <c r="F20" s="393"/>
      <c r="G20" s="163" t="s">
        <v>26</v>
      </c>
      <c r="H20" s="55">
        <v>789900</v>
      </c>
      <c r="I20" s="56"/>
      <c r="J20" s="57"/>
      <c r="K20" s="57"/>
      <c r="L20" s="58">
        <f t="shared" si="0"/>
        <v>789900</v>
      </c>
    </row>
    <row r="21" spans="1:12" x14ac:dyDescent="0.25">
      <c r="A21" s="385">
        <v>1</v>
      </c>
      <c r="B21" s="384"/>
      <c r="C21" s="386" t="s">
        <v>188</v>
      </c>
      <c r="D21" s="386"/>
      <c r="E21" s="383" t="s">
        <v>180</v>
      </c>
      <c r="F21" s="383"/>
      <c r="G21" s="59" t="s">
        <v>26</v>
      </c>
      <c r="H21" s="55">
        <v>600000</v>
      </c>
      <c r="I21" s="56"/>
      <c r="J21" s="57"/>
      <c r="K21" s="57"/>
      <c r="L21" s="58">
        <f t="shared" si="0"/>
        <v>600000</v>
      </c>
    </row>
    <row r="22" spans="1:12" x14ac:dyDescent="0.25">
      <c r="A22" s="375">
        <v>1</v>
      </c>
      <c r="B22" s="376"/>
      <c r="C22" s="322">
        <v>1</v>
      </c>
      <c r="D22" s="324"/>
      <c r="E22" s="383" t="s">
        <v>274</v>
      </c>
      <c r="F22" s="383"/>
      <c r="G22" s="59" t="s">
        <v>26</v>
      </c>
      <c r="H22" s="55">
        <v>1082579</v>
      </c>
      <c r="I22" s="56"/>
      <c r="J22" s="57"/>
      <c r="K22" s="57"/>
      <c r="L22" s="58">
        <f t="shared" si="0"/>
        <v>1082579</v>
      </c>
    </row>
    <row r="23" spans="1:12" x14ac:dyDescent="0.25">
      <c r="A23" s="375">
        <v>1</v>
      </c>
      <c r="B23" s="376"/>
      <c r="C23" s="384">
        <v>1</v>
      </c>
      <c r="D23" s="384"/>
      <c r="E23" s="383" t="s">
        <v>275</v>
      </c>
      <c r="F23" s="383"/>
      <c r="G23" s="59" t="s">
        <v>26</v>
      </c>
      <c r="H23" s="55">
        <v>888800</v>
      </c>
      <c r="I23" s="56"/>
      <c r="J23" s="57"/>
      <c r="K23" s="57"/>
      <c r="L23" s="58">
        <f t="shared" si="0"/>
        <v>888800</v>
      </c>
    </row>
    <row r="24" spans="1:12" x14ac:dyDescent="0.25">
      <c r="A24" s="375">
        <v>1</v>
      </c>
      <c r="B24" s="376"/>
      <c r="C24" s="322">
        <v>2</v>
      </c>
      <c r="D24" s="324"/>
      <c r="E24" s="392" t="s">
        <v>248</v>
      </c>
      <c r="F24" s="393"/>
      <c r="G24" s="59" t="s">
        <v>26</v>
      </c>
      <c r="H24" s="55">
        <v>786845</v>
      </c>
      <c r="I24" s="56"/>
      <c r="J24" s="57"/>
      <c r="K24" s="57"/>
      <c r="L24" s="58">
        <f t="shared" si="0"/>
        <v>786845</v>
      </c>
    </row>
    <row r="25" spans="1:12" x14ac:dyDescent="0.25">
      <c r="A25" s="375">
        <v>1</v>
      </c>
      <c r="B25" s="376"/>
      <c r="C25" s="379" t="s">
        <v>265</v>
      </c>
      <c r="D25" s="380"/>
      <c r="E25" s="381" t="s">
        <v>86</v>
      </c>
      <c r="F25" s="382"/>
      <c r="G25" s="59" t="s">
        <v>26</v>
      </c>
      <c r="H25" s="55">
        <v>570600</v>
      </c>
      <c r="I25" s="56"/>
      <c r="J25" s="57"/>
      <c r="K25" s="57"/>
      <c r="L25" s="58">
        <f t="shared" si="0"/>
        <v>570600</v>
      </c>
    </row>
    <row r="26" spans="1:12" x14ac:dyDescent="0.25">
      <c r="A26" s="375">
        <v>1</v>
      </c>
      <c r="B26" s="376"/>
      <c r="C26" s="379" t="s">
        <v>265</v>
      </c>
      <c r="D26" s="380"/>
      <c r="E26" s="381" t="s">
        <v>105</v>
      </c>
      <c r="F26" s="382"/>
      <c r="G26" s="59" t="s">
        <v>26</v>
      </c>
      <c r="H26" s="55">
        <v>480300</v>
      </c>
      <c r="I26" s="56"/>
      <c r="J26" s="57"/>
      <c r="K26" s="57"/>
      <c r="L26" s="58">
        <f t="shared" si="0"/>
        <v>480300</v>
      </c>
    </row>
    <row r="27" spans="1:12" x14ac:dyDescent="0.25">
      <c r="A27" s="375">
        <v>1</v>
      </c>
      <c r="B27" s="376"/>
      <c r="C27" s="322">
        <v>6</v>
      </c>
      <c r="D27" s="324"/>
      <c r="E27" s="381" t="s">
        <v>107</v>
      </c>
      <c r="F27" s="382"/>
      <c r="G27" s="163" t="s">
        <v>26</v>
      </c>
      <c r="H27" s="60">
        <v>641868</v>
      </c>
      <c r="I27" s="56"/>
      <c r="J27" s="57"/>
      <c r="K27" s="57"/>
      <c r="L27" s="58">
        <f t="shared" si="0"/>
        <v>641868</v>
      </c>
    </row>
    <row r="28" spans="1:12" x14ac:dyDescent="0.25">
      <c r="A28" s="375">
        <v>1</v>
      </c>
      <c r="B28" s="376"/>
      <c r="C28" s="322">
        <v>1</v>
      </c>
      <c r="D28" s="324"/>
      <c r="E28" s="383" t="s">
        <v>276</v>
      </c>
      <c r="F28" s="383"/>
      <c r="G28" s="163" t="s">
        <v>26</v>
      </c>
      <c r="H28" s="60">
        <v>884587</v>
      </c>
      <c r="I28" s="56"/>
      <c r="J28" s="57"/>
      <c r="K28" s="57"/>
      <c r="L28" s="58">
        <f t="shared" si="0"/>
        <v>884587</v>
      </c>
    </row>
    <row r="29" spans="1:12" x14ac:dyDescent="0.25">
      <c r="A29" s="375">
        <v>1</v>
      </c>
      <c r="B29" s="376"/>
      <c r="C29" s="379" t="s">
        <v>158</v>
      </c>
      <c r="D29" s="380"/>
      <c r="E29" s="377" t="s">
        <v>182</v>
      </c>
      <c r="F29" s="378"/>
      <c r="G29" s="163" t="s">
        <v>26</v>
      </c>
      <c r="H29" s="60">
        <v>423953</v>
      </c>
      <c r="I29" s="56"/>
      <c r="J29" s="57"/>
      <c r="K29" s="57"/>
      <c r="L29" s="58">
        <f t="shared" si="0"/>
        <v>423953</v>
      </c>
    </row>
    <row r="30" spans="1:12" x14ac:dyDescent="0.25">
      <c r="A30" s="375">
        <v>1</v>
      </c>
      <c r="B30" s="376"/>
      <c r="C30" s="411" t="s">
        <v>188</v>
      </c>
      <c r="D30" s="412"/>
      <c r="E30" s="381" t="s">
        <v>191</v>
      </c>
      <c r="F30" s="382"/>
      <c r="G30" s="163" t="s">
        <v>26</v>
      </c>
      <c r="H30" s="60">
        <v>328300</v>
      </c>
      <c r="I30" s="56"/>
      <c r="J30" s="57"/>
      <c r="K30" s="57"/>
      <c r="L30" s="58">
        <f t="shared" si="0"/>
        <v>328300</v>
      </c>
    </row>
    <row r="31" spans="1:12" x14ac:dyDescent="0.25">
      <c r="A31" s="375">
        <v>1</v>
      </c>
      <c r="B31" s="376"/>
      <c r="C31" s="375">
        <v>6</v>
      </c>
      <c r="D31" s="376"/>
      <c r="E31" s="381" t="s">
        <v>134</v>
      </c>
      <c r="F31" s="382"/>
      <c r="G31" s="163" t="s">
        <v>26</v>
      </c>
      <c r="H31" s="60">
        <v>317700</v>
      </c>
      <c r="I31" s="56"/>
      <c r="J31" s="57"/>
      <c r="K31" s="57"/>
      <c r="L31" s="58">
        <f t="shared" si="0"/>
        <v>317700</v>
      </c>
    </row>
    <row r="32" spans="1:12" x14ac:dyDescent="0.25">
      <c r="A32" s="375">
        <v>1</v>
      </c>
      <c r="B32" s="376"/>
      <c r="C32" s="375">
        <v>7</v>
      </c>
      <c r="D32" s="376"/>
      <c r="E32" s="381" t="s">
        <v>104</v>
      </c>
      <c r="F32" s="382"/>
      <c r="G32" s="163" t="s">
        <v>26</v>
      </c>
      <c r="H32" s="60">
        <v>433600</v>
      </c>
      <c r="I32" s="56"/>
      <c r="J32" s="57"/>
      <c r="K32" s="57"/>
      <c r="L32" s="58">
        <f t="shared" si="0"/>
        <v>433600</v>
      </c>
    </row>
    <row r="33" spans="1:12" x14ac:dyDescent="0.25">
      <c r="A33" s="375">
        <v>1</v>
      </c>
      <c r="B33" s="376"/>
      <c r="C33" s="375">
        <v>7</v>
      </c>
      <c r="D33" s="376"/>
      <c r="E33" s="381" t="s">
        <v>106</v>
      </c>
      <c r="F33" s="382"/>
      <c r="G33" s="163" t="s">
        <v>26</v>
      </c>
      <c r="H33" s="60">
        <v>418100</v>
      </c>
      <c r="I33" s="56"/>
      <c r="J33" s="57"/>
      <c r="K33" s="57"/>
      <c r="L33" s="58">
        <f t="shared" si="0"/>
        <v>418100</v>
      </c>
    </row>
    <row r="34" spans="1:12" x14ac:dyDescent="0.25">
      <c r="A34" s="375">
        <v>1</v>
      </c>
      <c r="B34" s="376"/>
      <c r="C34" s="411" t="s">
        <v>142</v>
      </c>
      <c r="D34" s="412"/>
      <c r="E34" s="381" t="s">
        <v>226</v>
      </c>
      <c r="F34" s="382"/>
      <c r="G34" s="163" t="s">
        <v>26</v>
      </c>
      <c r="H34" s="60">
        <v>1011300</v>
      </c>
      <c r="I34" s="56"/>
      <c r="J34" s="57"/>
      <c r="K34" s="57"/>
      <c r="L34" s="58">
        <f t="shared" si="0"/>
        <v>1011300</v>
      </c>
    </row>
    <row r="35" spans="1:12" x14ac:dyDescent="0.25">
      <c r="A35" s="375">
        <v>1</v>
      </c>
      <c r="B35" s="376"/>
      <c r="C35" s="375">
        <v>6</v>
      </c>
      <c r="D35" s="376"/>
      <c r="E35" s="381" t="s">
        <v>182</v>
      </c>
      <c r="F35" s="382"/>
      <c r="G35" s="163" t="s">
        <v>26</v>
      </c>
      <c r="H35" s="60">
        <v>418100</v>
      </c>
      <c r="I35" s="56"/>
      <c r="J35" s="57"/>
      <c r="K35" s="57"/>
      <c r="L35" s="58">
        <f t="shared" si="0"/>
        <v>418100</v>
      </c>
    </row>
    <row r="36" spans="1:12" x14ac:dyDescent="0.25">
      <c r="A36" s="375">
        <v>1</v>
      </c>
      <c r="B36" s="376"/>
      <c r="C36" s="411" t="s">
        <v>77</v>
      </c>
      <c r="D36" s="412"/>
      <c r="E36" s="381" t="s">
        <v>279</v>
      </c>
      <c r="F36" s="382"/>
      <c r="G36" s="163" t="s">
        <v>26</v>
      </c>
      <c r="H36" s="60">
        <v>1108966</v>
      </c>
      <c r="I36" s="56"/>
      <c r="J36" s="57"/>
      <c r="K36" s="57"/>
      <c r="L36" s="58">
        <f t="shared" si="0"/>
        <v>1108966</v>
      </c>
    </row>
    <row r="37" spans="1:12" x14ac:dyDescent="0.25">
      <c r="A37" s="375">
        <v>2</v>
      </c>
      <c r="B37" s="376"/>
      <c r="C37" s="379" t="s">
        <v>139</v>
      </c>
      <c r="D37" s="380"/>
      <c r="E37" s="381" t="s">
        <v>282</v>
      </c>
      <c r="F37" s="382"/>
      <c r="G37" s="163" t="s">
        <v>26</v>
      </c>
      <c r="H37" s="60">
        <v>2772600</v>
      </c>
      <c r="I37" s="56"/>
      <c r="J37" s="57"/>
      <c r="K37" s="57"/>
      <c r="L37" s="58">
        <f t="shared" si="0"/>
        <v>2772600</v>
      </c>
    </row>
    <row r="38" spans="1:12" x14ac:dyDescent="0.25">
      <c r="A38" s="375">
        <v>1</v>
      </c>
      <c r="B38" s="376"/>
      <c r="C38" s="322">
        <v>4</v>
      </c>
      <c r="D38" s="324"/>
      <c r="E38" s="392" t="s">
        <v>186</v>
      </c>
      <c r="F38" s="393"/>
      <c r="G38" s="163" t="s">
        <v>26</v>
      </c>
      <c r="H38" s="60">
        <v>719423</v>
      </c>
      <c r="I38" s="56"/>
      <c r="J38" s="57"/>
      <c r="K38" s="57"/>
      <c r="L38" s="58">
        <f t="shared" si="0"/>
        <v>719423</v>
      </c>
    </row>
    <row r="39" spans="1:12" x14ac:dyDescent="0.25">
      <c r="A39" s="375">
        <v>1</v>
      </c>
      <c r="B39" s="376"/>
      <c r="C39" s="379" t="s">
        <v>142</v>
      </c>
      <c r="D39" s="380"/>
      <c r="E39" s="381" t="s">
        <v>210</v>
      </c>
      <c r="F39" s="382"/>
      <c r="G39" s="163" t="s">
        <v>26</v>
      </c>
      <c r="H39" s="60">
        <v>792000</v>
      </c>
      <c r="I39" s="56"/>
      <c r="J39" s="57"/>
      <c r="K39" s="57"/>
      <c r="L39" s="58">
        <f t="shared" si="0"/>
        <v>792000</v>
      </c>
    </row>
    <row r="40" spans="1:12" x14ac:dyDescent="0.25">
      <c r="A40" s="375">
        <v>1</v>
      </c>
      <c r="B40" s="376"/>
      <c r="C40" s="322">
        <v>5</v>
      </c>
      <c r="D40" s="324"/>
      <c r="E40" s="392" t="s">
        <v>184</v>
      </c>
      <c r="F40" s="393"/>
      <c r="G40" s="163" t="s">
        <v>26</v>
      </c>
      <c r="H40" s="60">
        <v>782600</v>
      </c>
      <c r="I40" s="56"/>
      <c r="J40" s="57"/>
      <c r="K40" s="57"/>
      <c r="L40" s="58">
        <f t="shared" si="0"/>
        <v>782600</v>
      </c>
    </row>
    <row r="41" spans="1:12" x14ac:dyDescent="0.25">
      <c r="A41" s="375">
        <v>1</v>
      </c>
      <c r="B41" s="376"/>
      <c r="C41" s="375">
        <v>4</v>
      </c>
      <c r="D41" s="376"/>
      <c r="E41" s="381" t="s">
        <v>194</v>
      </c>
      <c r="F41" s="382"/>
      <c r="G41" s="163" t="s">
        <v>26</v>
      </c>
      <c r="H41" s="60">
        <v>728700</v>
      </c>
      <c r="I41" s="56"/>
      <c r="J41" s="57"/>
      <c r="K41" s="57"/>
      <c r="L41" s="58">
        <f t="shared" si="0"/>
        <v>728700</v>
      </c>
    </row>
    <row r="42" spans="1:12" x14ac:dyDescent="0.25">
      <c r="A42" s="375">
        <v>1</v>
      </c>
      <c r="B42" s="376"/>
      <c r="C42" s="375">
        <v>3</v>
      </c>
      <c r="D42" s="376"/>
      <c r="E42" s="381" t="s">
        <v>227</v>
      </c>
      <c r="F42" s="382"/>
      <c r="G42" s="163" t="s">
        <v>26</v>
      </c>
      <c r="H42" s="60">
        <v>578500</v>
      </c>
      <c r="I42" s="56"/>
      <c r="J42" s="57"/>
      <c r="K42" s="57"/>
      <c r="L42" s="58">
        <f t="shared" si="0"/>
        <v>578500</v>
      </c>
    </row>
    <row r="43" spans="1:12" x14ac:dyDescent="0.25">
      <c r="A43" s="375">
        <v>1</v>
      </c>
      <c r="B43" s="376"/>
      <c r="C43" s="375">
        <v>2</v>
      </c>
      <c r="D43" s="376"/>
      <c r="E43" s="381" t="s">
        <v>264</v>
      </c>
      <c r="F43" s="382"/>
      <c r="G43" s="163" t="s">
        <v>26</v>
      </c>
      <c r="H43" s="60">
        <v>1033600</v>
      </c>
      <c r="I43" s="56"/>
      <c r="J43" s="57"/>
      <c r="K43" s="57"/>
      <c r="L43" s="58">
        <f t="shared" si="0"/>
        <v>1033600</v>
      </c>
    </row>
    <row r="44" spans="1:12" x14ac:dyDescent="0.25">
      <c r="A44" s="375">
        <v>1</v>
      </c>
      <c r="B44" s="376"/>
      <c r="C44" s="375">
        <v>2</v>
      </c>
      <c r="D44" s="376"/>
      <c r="E44" s="381" t="s">
        <v>283</v>
      </c>
      <c r="F44" s="382"/>
      <c r="G44" s="163" t="s">
        <v>26</v>
      </c>
      <c r="H44" s="60">
        <v>1080900</v>
      </c>
      <c r="I44" s="56"/>
      <c r="J44" s="57"/>
      <c r="K44" s="57"/>
      <c r="L44" s="58">
        <f t="shared" si="0"/>
        <v>1080900</v>
      </c>
    </row>
    <row r="45" spans="1:12" x14ac:dyDescent="0.25">
      <c r="A45" s="375">
        <v>1</v>
      </c>
      <c r="B45" s="376"/>
      <c r="C45" s="375">
        <v>4</v>
      </c>
      <c r="D45" s="376"/>
      <c r="E45" s="381" t="s">
        <v>187</v>
      </c>
      <c r="F45" s="382"/>
      <c r="G45" s="163" t="s">
        <v>26</v>
      </c>
      <c r="H45" s="60">
        <v>804500</v>
      </c>
      <c r="I45" s="56"/>
      <c r="J45" s="57"/>
      <c r="K45" s="57"/>
      <c r="L45" s="58">
        <f t="shared" si="0"/>
        <v>804500</v>
      </c>
    </row>
    <row r="46" spans="1:12" x14ac:dyDescent="0.25">
      <c r="A46" s="375">
        <v>1</v>
      </c>
      <c r="B46" s="376"/>
      <c r="C46" s="375">
        <v>4</v>
      </c>
      <c r="D46" s="376"/>
      <c r="E46" s="381" t="s">
        <v>160</v>
      </c>
      <c r="F46" s="382"/>
      <c r="G46" s="163" t="s">
        <v>26</v>
      </c>
      <c r="H46" s="60">
        <v>556727</v>
      </c>
      <c r="I46" s="56"/>
      <c r="J46" s="57"/>
      <c r="K46" s="57"/>
      <c r="L46" s="58">
        <f t="shared" si="0"/>
        <v>556727</v>
      </c>
    </row>
    <row r="47" spans="1:12" x14ac:dyDescent="0.25">
      <c r="A47" s="375">
        <v>1</v>
      </c>
      <c r="B47" s="376"/>
      <c r="C47" s="375">
        <v>5</v>
      </c>
      <c r="D47" s="376"/>
      <c r="E47" s="381" t="s">
        <v>160</v>
      </c>
      <c r="F47" s="382"/>
      <c r="G47" s="163" t="s">
        <v>26</v>
      </c>
      <c r="H47" s="60">
        <v>540683</v>
      </c>
      <c r="I47" s="56"/>
      <c r="J47" s="57"/>
      <c r="K47" s="57"/>
      <c r="L47" s="58">
        <f t="shared" si="0"/>
        <v>540683</v>
      </c>
    </row>
    <row r="48" spans="1:12" x14ac:dyDescent="0.25">
      <c r="A48" s="375">
        <v>1</v>
      </c>
      <c r="B48" s="376"/>
      <c r="C48" s="375">
        <v>4</v>
      </c>
      <c r="D48" s="376"/>
      <c r="E48" s="381" t="s">
        <v>197</v>
      </c>
      <c r="F48" s="382"/>
      <c r="G48" s="163" t="s">
        <v>26</v>
      </c>
      <c r="H48" s="60">
        <v>481700</v>
      </c>
      <c r="I48" s="56"/>
      <c r="J48" s="57"/>
      <c r="K48" s="57"/>
      <c r="L48" s="58">
        <f t="shared" si="0"/>
        <v>481700</v>
      </c>
    </row>
    <row r="49" spans="1:12" x14ac:dyDescent="0.25">
      <c r="A49" s="375">
        <v>1</v>
      </c>
      <c r="B49" s="376"/>
      <c r="C49" s="375">
        <v>6</v>
      </c>
      <c r="D49" s="376"/>
      <c r="E49" s="381" t="s">
        <v>138</v>
      </c>
      <c r="F49" s="382"/>
      <c r="G49" s="163" t="s">
        <v>26</v>
      </c>
      <c r="H49" s="60">
        <v>581200</v>
      </c>
      <c r="I49" s="56"/>
      <c r="J49" s="57"/>
      <c r="K49" s="57"/>
      <c r="L49" s="58">
        <f t="shared" si="0"/>
        <v>581200</v>
      </c>
    </row>
    <row r="50" spans="1:12" x14ac:dyDescent="0.25">
      <c r="A50" s="375">
        <v>1</v>
      </c>
      <c r="B50" s="376"/>
      <c r="C50" s="375">
        <v>1</v>
      </c>
      <c r="D50" s="376"/>
      <c r="E50" s="381" t="s">
        <v>286</v>
      </c>
      <c r="F50" s="382"/>
      <c r="G50" s="163" t="s">
        <v>26</v>
      </c>
      <c r="H50" s="60">
        <v>1007800</v>
      </c>
      <c r="I50" s="56"/>
      <c r="J50" s="57"/>
      <c r="K50" s="57"/>
      <c r="L50" s="58">
        <f t="shared" si="0"/>
        <v>1007800</v>
      </c>
    </row>
    <row r="51" spans="1:12" x14ac:dyDescent="0.25">
      <c r="A51" s="375">
        <v>1</v>
      </c>
      <c r="B51" s="376"/>
      <c r="C51" s="375">
        <v>3</v>
      </c>
      <c r="D51" s="376"/>
      <c r="E51" s="381" t="s">
        <v>222</v>
      </c>
      <c r="F51" s="382"/>
      <c r="G51" s="163" t="s">
        <v>26</v>
      </c>
      <c r="H51" s="60">
        <v>663300</v>
      </c>
      <c r="I51" s="56"/>
      <c r="J51" s="57"/>
      <c r="K51" s="57"/>
      <c r="L51" s="58">
        <f t="shared" si="0"/>
        <v>663300</v>
      </c>
    </row>
    <row r="52" spans="1:12" x14ac:dyDescent="0.25">
      <c r="A52" s="375">
        <v>3</v>
      </c>
      <c r="B52" s="376"/>
      <c r="C52" s="379" t="s">
        <v>287</v>
      </c>
      <c r="D52" s="380"/>
      <c r="E52" s="381" t="s">
        <v>288</v>
      </c>
      <c r="F52" s="382"/>
      <c r="G52" s="163" t="s">
        <v>26</v>
      </c>
      <c r="H52" s="60">
        <v>2833418</v>
      </c>
      <c r="I52" s="56"/>
      <c r="J52" s="57"/>
      <c r="K52" s="57"/>
      <c r="L52" s="58">
        <f t="shared" si="0"/>
        <v>2833418</v>
      </c>
    </row>
    <row r="53" spans="1:12" x14ac:dyDescent="0.25">
      <c r="A53" s="375">
        <v>1</v>
      </c>
      <c r="B53" s="376"/>
      <c r="C53" s="375">
        <v>6</v>
      </c>
      <c r="D53" s="376"/>
      <c r="E53" s="381" t="s">
        <v>135</v>
      </c>
      <c r="F53" s="382"/>
      <c r="G53" s="163" t="s">
        <v>26</v>
      </c>
      <c r="H53" s="60">
        <v>920600</v>
      </c>
      <c r="I53" s="56"/>
      <c r="J53" s="57"/>
      <c r="K53" s="57"/>
      <c r="L53" s="58">
        <f t="shared" si="0"/>
        <v>920600</v>
      </c>
    </row>
    <row r="54" spans="1:12" x14ac:dyDescent="0.25">
      <c r="A54" s="375">
        <v>1</v>
      </c>
      <c r="B54" s="376"/>
      <c r="C54" s="375">
        <v>4</v>
      </c>
      <c r="D54" s="376"/>
      <c r="E54" s="381" t="s">
        <v>249</v>
      </c>
      <c r="F54" s="382"/>
      <c r="G54" s="163" t="s">
        <v>240</v>
      </c>
      <c r="H54" s="60">
        <v>287300</v>
      </c>
      <c r="I54" s="56"/>
      <c r="J54" s="57"/>
      <c r="K54" s="57"/>
      <c r="L54" s="58">
        <f t="shared" si="0"/>
        <v>287300</v>
      </c>
    </row>
    <row r="55" spans="1:12" x14ac:dyDescent="0.25">
      <c r="A55" s="375">
        <v>1</v>
      </c>
      <c r="B55" s="376"/>
      <c r="C55" s="375">
        <v>4</v>
      </c>
      <c r="D55" s="376"/>
      <c r="E55" s="381" t="s">
        <v>185</v>
      </c>
      <c r="F55" s="382"/>
      <c r="G55" s="163" t="s">
        <v>26</v>
      </c>
      <c r="H55" s="60">
        <v>325300</v>
      </c>
      <c r="I55" s="56"/>
      <c r="J55" s="57"/>
      <c r="K55" s="57"/>
      <c r="L55" s="58">
        <f t="shared" si="0"/>
        <v>325300</v>
      </c>
    </row>
    <row r="56" spans="1:12" x14ac:dyDescent="0.25">
      <c r="A56" s="375">
        <v>1</v>
      </c>
      <c r="B56" s="376"/>
      <c r="C56" s="375">
        <v>9</v>
      </c>
      <c r="D56" s="376"/>
      <c r="E56" s="381" t="s">
        <v>71</v>
      </c>
      <c r="F56" s="382"/>
      <c r="G56" s="163" t="s">
        <v>26</v>
      </c>
      <c r="H56" s="60">
        <v>323400</v>
      </c>
      <c r="I56" s="56"/>
      <c r="J56" s="57"/>
      <c r="K56" s="57"/>
      <c r="L56" s="58">
        <f t="shared" si="0"/>
        <v>323400</v>
      </c>
    </row>
    <row r="57" spans="1:12" x14ac:dyDescent="0.25">
      <c r="A57" s="375">
        <v>1</v>
      </c>
      <c r="B57" s="376"/>
      <c r="C57" s="375">
        <v>1</v>
      </c>
      <c r="D57" s="376"/>
      <c r="E57" s="381" t="s">
        <v>291</v>
      </c>
      <c r="F57" s="382"/>
      <c r="G57" s="163" t="s">
        <v>26</v>
      </c>
      <c r="H57" s="60">
        <v>1064400</v>
      </c>
      <c r="I57" s="56"/>
      <c r="J57" s="57"/>
      <c r="K57" s="57"/>
      <c r="L57" s="58">
        <f t="shared" si="0"/>
        <v>1064400</v>
      </c>
    </row>
    <row r="58" spans="1:12" x14ac:dyDescent="0.25">
      <c r="A58" s="390">
        <v>45970</v>
      </c>
      <c r="B58" s="391"/>
      <c r="C58" s="322">
        <v>1</v>
      </c>
      <c r="D58" s="324"/>
      <c r="E58" s="392" t="s">
        <v>64</v>
      </c>
      <c r="F58" s="393"/>
      <c r="G58" s="164" t="s">
        <v>26</v>
      </c>
      <c r="H58" s="60">
        <v>12918305</v>
      </c>
      <c r="I58" s="56"/>
      <c r="J58" s="57"/>
      <c r="K58" s="57"/>
      <c r="L58" s="58">
        <f t="shared" si="0"/>
        <v>12918305</v>
      </c>
    </row>
    <row r="59" spans="1:12" x14ac:dyDescent="0.25">
      <c r="A59" s="322"/>
      <c r="B59" s="324"/>
      <c r="C59" s="61" t="s">
        <v>45</v>
      </c>
      <c r="D59" s="62"/>
      <c r="E59" s="62"/>
      <c r="F59" s="62"/>
      <c r="G59" s="62"/>
      <c r="H59" s="63">
        <f>SUM(H15:H58)</f>
        <v>46949000</v>
      </c>
      <c r="I59" s="334"/>
      <c r="J59" s="335"/>
      <c r="K59" s="336"/>
      <c r="L59" s="63">
        <f>SUM(L15:L58)</f>
        <v>46949000</v>
      </c>
    </row>
    <row r="60" spans="1:12" x14ac:dyDescent="0.25">
      <c r="A60" s="64"/>
      <c r="B60" s="38"/>
      <c r="C60" s="29"/>
      <c r="D60" s="30"/>
      <c r="E60" s="30"/>
      <c r="F60" s="30"/>
      <c r="G60" s="30"/>
      <c r="H60" s="31"/>
      <c r="I60" s="31"/>
      <c r="J60" s="31"/>
      <c r="K60" s="31"/>
      <c r="L60" s="32"/>
    </row>
    <row r="61" spans="1:12" x14ac:dyDescent="0.25">
      <c r="A61" s="48" t="s">
        <v>46</v>
      </c>
      <c r="B61" s="38"/>
      <c r="C61" s="29"/>
      <c r="D61" s="30"/>
      <c r="E61" s="30"/>
      <c r="F61" s="30"/>
      <c r="G61" s="30"/>
      <c r="H61" s="31"/>
      <c r="I61" s="31"/>
      <c r="J61" s="31"/>
      <c r="K61" s="31"/>
      <c r="L61" s="32"/>
    </row>
    <row r="62" spans="1:12" x14ac:dyDescent="0.25">
      <c r="A62" s="48"/>
      <c r="B62" s="30"/>
      <c r="C62" s="30"/>
      <c r="D62" s="30"/>
      <c r="E62" s="30"/>
      <c r="F62" s="30"/>
      <c r="G62" s="30"/>
      <c r="H62" s="31"/>
      <c r="I62" s="31"/>
      <c r="J62" s="31"/>
      <c r="K62" s="31"/>
      <c r="L62" s="32"/>
    </row>
    <row r="63" spans="1:12" x14ac:dyDescent="0.25">
      <c r="A63" s="357" t="s">
        <v>47</v>
      </c>
      <c r="B63" s="358"/>
      <c r="C63" s="363" t="s">
        <v>48</v>
      </c>
      <c r="D63" s="364"/>
      <c r="E63" s="357" t="s">
        <v>49</v>
      </c>
      <c r="F63" s="369"/>
      <c r="G63" s="369"/>
      <c r="H63" s="369"/>
      <c r="I63" s="369"/>
      <c r="J63" s="369"/>
      <c r="K63" s="358"/>
      <c r="L63" s="372" t="s">
        <v>50</v>
      </c>
    </row>
    <row r="64" spans="1:12" x14ac:dyDescent="0.25">
      <c r="A64" s="359"/>
      <c r="B64" s="360"/>
      <c r="C64" s="365"/>
      <c r="D64" s="366"/>
      <c r="E64" s="359"/>
      <c r="F64" s="370"/>
      <c r="G64" s="370"/>
      <c r="H64" s="370"/>
      <c r="I64" s="370"/>
      <c r="J64" s="370"/>
      <c r="K64" s="360"/>
      <c r="L64" s="373"/>
    </row>
    <row r="65" spans="1:13" x14ac:dyDescent="0.25">
      <c r="A65" s="361"/>
      <c r="B65" s="362"/>
      <c r="C65" s="367"/>
      <c r="D65" s="368"/>
      <c r="E65" s="361"/>
      <c r="F65" s="371"/>
      <c r="G65" s="371"/>
      <c r="H65" s="371"/>
      <c r="I65" s="371"/>
      <c r="J65" s="371"/>
      <c r="K65" s="362"/>
      <c r="L65" s="374"/>
    </row>
    <row r="66" spans="1:13" s="33" customFormat="1" x14ac:dyDescent="0.25">
      <c r="A66" s="352">
        <v>45923</v>
      </c>
      <c r="B66" s="353"/>
      <c r="C66" s="322">
        <v>2722</v>
      </c>
      <c r="D66" s="324"/>
      <c r="E66" s="354" t="s">
        <v>289</v>
      </c>
      <c r="F66" s="355"/>
      <c r="G66" s="355"/>
      <c r="H66" s="355"/>
      <c r="I66" s="355"/>
      <c r="J66" s="355"/>
      <c r="K66" s="356"/>
      <c r="L66" s="55">
        <v>2982000</v>
      </c>
    </row>
    <row r="67" spans="1:13" s="33" customFormat="1" x14ac:dyDescent="0.25">
      <c r="A67" s="352">
        <v>45927</v>
      </c>
      <c r="B67" s="353"/>
      <c r="C67" s="322">
        <v>2731</v>
      </c>
      <c r="D67" s="324"/>
      <c r="E67" s="354" t="s">
        <v>277</v>
      </c>
      <c r="F67" s="355"/>
      <c r="G67" s="355"/>
      <c r="H67" s="355"/>
      <c r="I67" s="355"/>
      <c r="J67" s="355"/>
      <c r="K67" s="356"/>
      <c r="L67" s="55">
        <v>7540200</v>
      </c>
    </row>
    <row r="68" spans="1:13" x14ac:dyDescent="0.25">
      <c r="A68" s="352">
        <v>45927</v>
      </c>
      <c r="B68" s="353"/>
      <c r="C68" s="322">
        <v>2733</v>
      </c>
      <c r="D68" s="324"/>
      <c r="E68" s="354" t="s">
        <v>280</v>
      </c>
      <c r="F68" s="355"/>
      <c r="G68" s="355"/>
      <c r="H68" s="355"/>
      <c r="I68" s="355"/>
      <c r="J68" s="355"/>
      <c r="K68" s="356"/>
      <c r="L68" s="55">
        <v>7387000</v>
      </c>
      <c r="M68" s="33"/>
    </row>
    <row r="69" spans="1:13" x14ac:dyDescent="0.25">
      <c r="A69" s="352">
        <v>45934</v>
      </c>
      <c r="B69" s="353"/>
      <c r="C69" s="322">
        <v>2745</v>
      </c>
      <c r="D69" s="324"/>
      <c r="E69" s="354" t="s">
        <v>284</v>
      </c>
      <c r="F69" s="355"/>
      <c r="G69" s="355"/>
      <c r="H69" s="355"/>
      <c r="I69" s="355"/>
      <c r="J69" s="355"/>
      <c r="K69" s="356"/>
      <c r="L69" s="55">
        <v>5370000</v>
      </c>
    </row>
    <row r="70" spans="1:13" x14ac:dyDescent="0.25">
      <c r="A70" s="352">
        <v>45954</v>
      </c>
      <c r="B70" s="353"/>
      <c r="C70" s="322">
        <v>2764</v>
      </c>
      <c r="D70" s="324"/>
      <c r="E70" s="354" t="s">
        <v>298</v>
      </c>
      <c r="F70" s="355"/>
      <c r="G70" s="355"/>
      <c r="H70" s="355"/>
      <c r="I70" s="355"/>
      <c r="J70" s="355"/>
      <c r="K70" s="356"/>
      <c r="L70" s="55">
        <v>8134800</v>
      </c>
    </row>
    <row r="71" spans="1:13" x14ac:dyDescent="0.25">
      <c r="A71" s="352">
        <v>45955</v>
      </c>
      <c r="B71" s="353"/>
      <c r="C71" s="322">
        <v>2766</v>
      </c>
      <c r="D71" s="324"/>
      <c r="E71" s="354" t="s">
        <v>292</v>
      </c>
      <c r="F71" s="355"/>
      <c r="G71" s="355"/>
      <c r="H71" s="355"/>
      <c r="I71" s="355"/>
      <c r="J71" s="355"/>
      <c r="K71" s="356"/>
      <c r="L71" s="55">
        <v>2975000</v>
      </c>
    </row>
    <row r="72" spans="1:13" x14ac:dyDescent="0.25">
      <c r="A72" s="352">
        <v>45957</v>
      </c>
      <c r="B72" s="353"/>
      <c r="C72" s="322">
        <v>2768</v>
      </c>
      <c r="D72" s="324"/>
      <c r="E72" s="354" t="s">
        <v>294</v>
      </c>
      <c r="F72" s="355"/>
      <c r="G72" s="355"/>
      <c r="H72" s="355"/>
      <c r="I72" s="355"/>
      <c r="J72" s="355"/>
      <c r="K72" s="356"/>
      <c r="L72" s="55">
        <v>5190000</v>
      </c>
    </row>
    <row r="73" spans="1:13" x14ac:dyDescent="0.25">
      <c r="A73" s="352">
        <v>45959</v>
      </c>
      <c r="B73" s="353"/>
      <c r="C73" s="322">
        <v>2777</v>
      </c>
      <c r="D73" s="324"/>
      <c r="E73" s="354" t="s">
        <v>296</v>
      </c>
      <c r="F73" s="355"/>
      <c r="G73" s="355"/>
      <c r="H73" s="355"/>
      <c r="I73" s="355"/>
      <c r="J73" s="355"/>
      <c r="K73" s="356"/>
      <c r="L73" s="55">
        <v>7370000</v>
      </c>
    </row>
    <row r="74" spans="1:13" x14ac:dyDescent="0.25">
      <c r="A74" s="352"/>
      <c r="B74" s="353"/>
      <c r="C74" s="322"/>
      <c r="D74" s="324"/>
      <c r="E74" s="354"/>
      <c r="F74" s="355"/>
      <c r="G74" s="355"/>
      <c r="H74" s="355"/>
      <c r="I74" s="355"/>
      <c r="J74" s="355"/>
      <c r="K74" s="356"/>
      <c r="L74" s="55"/>
    </row>
    <row r="75" spans="1:13" x14ac:dyDescent="0.25">
      <c r="A75" s="334" t="s">
        <v>51</v>
      </c>
      <c r="B75" s="335"/>
      <c r="C75" s="335"/>
      <c r="D75" s="335"/>
      <c r="E75" s="335"/>
      <c r="F75" s="335"/>
      <c r="G75" s="335"/>
      <c r="H75" s="335"/>
      <c r="I75" s="335"/>
      <c r="J75" s="335"/>
      <c r="K75" s="336"/>
      <c r="L75" s="63">
        <f>SUM(L66:L74)</f>
        <v>46949000</v>
      </c>
    </row>
    <row r="76" spans="1:13" x14ac:dyDescent="0.25">
      <c r="A76" s="65"/>
      <c r="B76" s="66"/>
      <c r="C76" s="66"/>
      <c r="D76" s="66"/>
      <c r="E76" s="66"/>
      <c r="F76" s="66"/>
      <c r="G76" s="66"/>
      <c r="H76" s="31"/>
      <c r="I76" s="31"/>
      <c r="J76" s="31"/>
      <c r="K76" s="31"/>
      <c r="L76" s="31"/>
    </row>
    <row r="77" spans="1:13" x14ac:dyDescent="0.25">
      <c r="A77" s="48" t="s">
        <v>52</v>
      </c>
      <c r="B77" s="30"/>
      <c r="C77" s="30"/>
      <c r="D77" s="30"/>
      <c r="E77" s="30"/>
      <c r="F77" s="30"/>
      <c r="G77" s="30"/>
      <c r="H77" s="31"/>
      <c r="I77" s="31"/>
      <c r="J77" s="31"/>
      <c r="K77" s="31"/>
      <c r="L77" s="31"/>
    </row>
    <row r="78" spans="1:13" x14ac:dyDescent="0.25">
      <c r="A78" s="44"/>
      <c r="B78" s="45"/>
      <c r="C78" s="45"/>
      <c r="D78" s="45"/>
      <c r="E78" s="45"/>
      <c r="F78" s="45"/>
      <c r="G78" s="45"/>
      <c r="H78" s="31"/>
      <c r="I78" s="31"/>
      <c r="J78" s="46"/>
      <c r="K78" s="46"/>
      <c r="L78" s="31"/>
    </row>
    <row r="79" spans="1:13" x14ac:dyDescent="0.25">
      <c r="A79" s="337" t="s">
        <v>53</v>
      </c>
      <c r="B79" s="338"/>
      <c r="C79" s="337" t="s">
        <v>54</v>
      </c>
      <c r="D79" s="338"/>
      <c r="E79" s="159" t="s">
        <v>55</v>
      </c>
      <c r="F79" s="68" t="s">
        <v>37</v>
      </c>
      <c r="G79" s="339"/>
      <c r="H79" s="340"/>
      <c r="I79" s="340"/>
      <c r="J79" s="340"/>
      <c r="K79" s="341"/>
      <c r="L79" s="348" t="s">
        <v>56</v>
      </c>
    </row>
    <row r="80" spans="1:13" x14ac:dyDescent="0.25">
      <c r="A80" s="316"/>
      <c r="B80" s="317"/>
      <c r="C80" s="350" t="s">
        <v>57</v>
      </c>
      <c r="D80" s="351"/>
      <c r="E80" s="69"/>
      <c r="F80" s="44"/>
      <c r="G80" s="342"/>
      <c r="H80" s="343"/>
      <c r="I80" s="343"/>
      <c r="J80" s="343"/>
      <c r="K80" s="344"/>
      <c r="L80" s="349"/>
    </row>
    <row r="81" spans="1:13" x14ac:dyDescent="0.25">
      <c r="A81" s="310"/>
      <c r="B81" s="312"/>
      <c r="C81" s="310"/>
      <c r="D81" s="312"/>
      <c r="E81" s="70"/>
      <c r="F81" s="162"/>
      <c r="G81" s="342"/>
      <c r="H81" s="343"/>
      <c r="I81" s="343"/>
      <c r="J81" s="343"/>
      <c r="K81" s="344"/>
      <c r="L81" s="55"/>
    </row>
    <row r="82" spans="1:13" x14ac:dyDescent="0.25">
      <c r="A82" s="310"/>
      <c r="B82" s="312"/>
      <c r="C82" s="310"/>
      <c r="D82" s="312"/>
      <c r="E82" s="70"/>
      <c r="F82" s="64"/>
      <c r="G82" s="345"/>
      <c r="H82" s="346"/>
      <c r="I82" s="346"/>
      <c r="J82" s="346"/>
      <c r="K82" s="347"/>
      <c r="L82" s="72"/>
    </row>
    <row r="83" spans="1:13" x14ac:dyDescent="0.25">
      <c r="A83" s="322" t="s">
        <v>41</v>
      </c>
      <c r="B83" s="323"/>
      <c r="C83" s="323"/>
      <c r="D83" s="323"/>
      <c r="E83" s="323"/>
      <c r="F83" s="323"/>
      <c r="G83" s="323"/>
      <c r="H83" s="323"/>
      <c r="I83" s="323"/>
      <c r="J83" s="323"/>
      <c r="K83" s="324"/>
      <c r="L83" s="73">
        <f>SUM(L81:L82)</f>
        <v>0</v>
      </c>
    </row>
    <row r="84" spans="1:13" x14ac:dyDescent="0.25">
      <c r="A84" s="325"/>
      <c r="B84" s="326"/>
      <c r="C84" s="326"/>
      <c r="D84" s="326"/>
      <c r="E84" s="326"/>
      <c r="F84" s="326"/>
      <c r="G84" s="326"/>
      <c r="H84" s="326"/>
      <c r="I84" s="326"/>
      <c r="J84" s="326"/>
      <c r="K84" s="326"/>
      <c r="L84" s="326"/>
    </row>
    <row r="85" spans="1:13" x14ac:dyDescent="0.25">
      <c r="A85" s="327" t="s">
        <v>58</v>
      </c>
      <c r="B85" s="328"/>
      <c r="C85" s="328"/>
      <c r="D85" s="328"/>
      <c r="E85" s="328"/>
      <c r="F85" s="328"/>
      <c r="G85" s="328"/>
      <c r="H85" s="328"/>
      <c r="I85" s="328"/>
      <c r="J85" s="329"/>
      <c r="K85" s="330">
        <f>K9+L59-L75-L83</f>
        <v>0</v>
      </c>
      <c r="L85" s="330"/>
    </row>
    <row r="86" spans="1:13" x14ac:dyDescent="0.25">
      <c r="A86" s="331"/>
      <c r="B86" s="332"/>
      <c r="C86" s="332"/>
      <c r="D86" s="332"/>
      <c r="E86" s="332"/>
      <c r="F86" s="332"/>
      <c r="G86" s="332"/>
      <c r="H86" s="332"/>
      <c r="I86" s="332"/>
      <c r="J86" s="332"/>
      <c r="K86" s="332"/>
      <c r="L86" s="333"/>
    </row>
    <row r="87" spans="1:13" x14ac:dyDescent="0.25">
      <c r="A87" s="305" t="s">
        <v>59</v>
      </c>
      <c r="B87" s="305"/>
      <c r="C87" s="305"/>
      <c r="D87" s="305"/>
      <c r="E87" s="305"/>
      <c r="F87" s="305" t="s">
        <v>60</v>
      </c>
      <c r="G87" s="305"/>
      <c r="H87" s="305"/>
      <c r="I87" s="306"/>
      <c r="J87" s="309" t="s">
        <v>61</v>
      </c>
      <c r="K87" s="309"/>
      <c r="L87" s="309"/>
    </row>
    <row r="88" spans="1:13" x14ac:dyDescent="0.25">
      <c r="A88" s="310"/>
      <c r="B88" s="311"/>
      <c r="C88" s="311"/>
      <c r="D88" s="311"/>
      <c r="E88" s="312"/>
      <c r="F88" s="310"/>
      <c r="G88" s="311"/>
      <c r="H88" s="312"/>
      <c r="I88" s="307"/>
      <c r="J88" s="313"/>
      <c r="K88" s="314"/>
      <c r="L88" s="315"/>
      <c r="M88" s="74"/>
    </row>
    <row r="89" spans="1:13" x14ac:dyDescent="0.25">
      <c r="A89" s="316"/>
      <c r="B89" s="317"/>
      <c r="C89" s="317"/>
      <c r="D89" s="317"/>
      <c r="E89" s="318"/>
      <c r="F89" s="316"/>
      <c r="G89" s="317"/>
      <c r="H89" s="318"/>
      <c r="I89" s="308"/>
      <c r="J89" s="319"/>
      <c r="K89" s="320"/>
      <c r="L89" s="321"/>
    </row>
    <row r="90" spans="1:13" x14ac:dyDescent="0.25">
      <c r="A90" s="33"/>
      <c r="B90" s="33"/>
      <c r="C90" s="33"/>
      <c r="D90" s="33"/>
      <c r="E90" s="33"/>
      <c r="F90" s="33"/>
      <c r="G90" s="33"/>
      <c r="H90" s="75"/>
      <c r="I90" s="75"/>
      <c r="J90" s="75"/>
      <c r="K90" s="75"/>
      <c r="L90" s="75"/>
    </row>
  </sheetData>
  <mergeCells count="203">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39:B39"/>
    <mergeCell ref="C39:D39"/>
    <mergeCell ref="E39:F39"/>
    <mergeCell ref="A40:B40"/>
    <mergeCell ref="C40:D40"/>
    <mergeCell ref="E40:F40"/>
    <mergeCell ref="A37:B37"/>
    <mergeCell ref="C37:D37"/>
    <mergeCell ref="E37:F37"/>
    <mergeCell ref="A38:B38"/>
    <mergeCell ref="C38:D38"/>
    <mergeCell ref="E38:F38"/>
    <mergeCell ref="A57:B57"/>
    <mergeCell ref="C57:D57"/>
    <mergeCell ref="E57:F57"/>
    <mergeCell ref="A59:B59"/>
    <mergeCell ref="I59:K59"/>
    <mergeCell ref="A63:B65"/>
    <mergeCell ref="C63:D65"/>
    <mergeCell ref="E63:K65"/>
    <mergeCell ref="A41:B41"/>
    <mergeCell ref="C41:D41"/>
    <mergeCell ref="E41:F41"/>
    <mergeCell ref="A54:B54"/>
    <mergeCell ref="C54:D54"/>
    <mergeCell ref="E54:F54"/>
    <mergeCell ref="E43:F43"/>
    <mergeCell ref="A44:B44"/>
    <mergeCell ref="C44:D44"/>
    <mergeCell ref="E44:F44"/>
    <mergeCell ref="A58:B58"/>
    <mergeCell ref="C58:D58"/>
    <mergeCell ref="E58:F58"/>
    <mergeCell ref="A47:B47"/>
    <mergeCell ref="C47:D47"/>
    <mergeCell ref="E47:F47"/>
    <mergeCell ref="A68:B68"/>
    <mergeCell ref="C68:D68"/>
    <mergeCell ref="E68:K68"/>
    <mergeCell ref="A69:B69"/>
    <mergeCell ref="C69:D69"/>
    <mergeCell ref="E69:K69"/>
    <mergeCell ref="L63:L65"/>
    <mergeCell ref="A66:B66"/>
    <mergeCell ref="C66:D66"/>
    <mergeCell ref="E66:K66"/>
    <mergeCell ref="A67:B67"/>
    <mergeCell ref="C67:D67"/>
    <mergeCell ref="E67:K67"/>
    <mergeCell ref="A72:B72"/>
    <mergeCell ref="C72:D72"/>
    <mergeCell ref="E72:K72"/>
    <mergeCell ref="A73:B73"/>
    <mergeCell ref="C73:D73"/>
    <mergeCell ref="E73:K73"/>
    <mergeCell ref="A70:B70"/>
    <mergeCell ref="C70:D70"/>
    <mergeCell ref="E70:K70"/>
    <mergeCell ref="A71:B71"/>
    <mergeCell ref="C71:D71"/>
    <mergeCell ref="E71:K71"/>
    <mergeCell ref="C81:D81"/>
    <mergeCell ref="A82:B82"/>
    <mergeCell ref="C82:D82"/>
    <mergeCell ref="A74:B74"/>
    <mergeCell ref="C74:D74"/>
    <mergeCell ref="E74:K74"/>
    <mergeCell ref="A75:K75"/>
    <mergeCell ref="A79:B79"/>
    <mergeCell ref="C79:D79"/>
    <mergeCell ref="G79:K82"/>
    <mergeCell ref="F88:H88"/>
    <mergeCell ref="J88:L88"/>
    <mergeCell ref="A89:E89"/>
    <mergeCell ref="F89:H89"/>
    <mergeCell ref="J89:L89"/>
    <mergeCell ref="A42:B42"/>
    <mergeCell ref="C42:D42"/>
    <mergeCell ref="E42:F42"/>
    <mergeCell ref="A43:B43"/>
    <mergeCell ref="C43:D43"/>
    <mergeCell ref="A83:K83"/>
    <mergeCell ref="A84:L84"/>
    <mergeCell ref="A85:J85"/>
    <mergeCell ref="K85:L85"/>
    <mergeCell ref="A86:L86"/>
    <mergeCell ref="A87:E87"/>
    <mergeCell ref="F87:H87"/>
    <mergeCell ref="I87:I89"/>
    <mergeCell ref="J87:L87"/>
    <mergeCell ref="A88:E88"/>
    <mergeCell ref="L79:L80"/>
    <mergeCell ref="A80:B80"/>
    <mergeCell ref="C80:D80"/>
    <mergeCell ref="A81:B81"/>
    <mergeCell ref="A48:B48"/>
    <mergeCell ref="C48:D48"/>
    <mergeCell ref="E48:F48"/>
    <mergeCell ref="A45:B45"/>
    <mergeCell ref="C45:D45"/>
    <mergeCell ref="E45:F45"/>
    <mergeCell ref="A46:B46"/>
    <mergeCell ref="C46:D46"/>
    <mergeCell ref="E46:F46"/>
    <mergeCell ref="A51:B51"/>
    <mergeCell ref="C51:D51"/>
    <mergeCell ref="E51:F51"/>
    <mergeCell ref="A52:B52"/>
    <mergeCell ref="C52:D52"/>
    <mergeCell ref="E52:F52"/>
    <mergeCell ref="A49:B49"/>
    <mergeCell ref="C49:D49"/>
    <mergeCell ref="E49:F49"/>
    <mergeCell ref="A50:B50"/>
    <mergeCell ref="C50:D50"/>
    <mergeCell ref="E50:F50"/>
    <mergeCell ref="A56:B56"/>
    <mergeCell ref="C56:D56"/>
    <mergeCell ref="E56:F56"/>
    <mergeCell ref="A53:B53"/>
    <mergeCell ref="C53:D53"/>
    <mergeCell ref="E53:F53"/>
    <mergeCell ref="A55:B55"/>
    <mergeCell ref="C55:D55"/>
    <mergeCell ref="E55:F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
  <sheetViews>
    <sheetView topLeftCell="A38" workbookViewId="0">
      <selection activeCell="A48" sqref="A48:K48"/>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0.71093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67" t="s">
        <v>27</v>
      </c>
      <c r="B6" s="166" t="s">
        <v>28</v>
      </c>
      <c r="C6" s="166" t="s">
        <v>29</v>
      </c>
      <c r="D6" s="30"/>
      <c r="E6" s="30"/>
      <c r="F6" s="30"/>
      <c r="G6" s="30"/>
      <c r="H6" s="31"/>
      <c r="I6" s="31"/>
      <c r="J6" s="31"/>
      <c r="K6" s="31"/>
      <c r="L6" s="32"/>
    </row>
    <row r="7" spans="1:12" x14ac:dyDescent="0.25">
      <c r="A7" s="41" t="s">
        <v>301</v>
      </c>
      <c r="B7" s="42" t="s">
        <v>273</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69" t="s">
        <v>40</v>
      </c>
      <c r="K13" s="169" t="s">
        <v>40</v>
      </c>
      <c r="L13" s="169" t="s">
        <v>41</v>
      </c>
    </row>
    <row r="14" spans="1:12" x14ac:dyDescent="0.25">
      <c r="A14" s="396"/>
      <c r="B14" s="397"/>
      <c r="C14" s="396"/>
      <c r="D14" s="397"/>
      <c r="E14" s="361"/>
      <c r="F14" s="362"/>
      <c r="G14" s="399"/>
      <c r="H14" s="399"/>
      <c r="I14" s="399"/>
      <c r="J14" s="170" t="s">
        <v>42</v>
      </c>
      <c r="K14" s="170" t="s">
        <v>43</v>
      </c>
      <c r="L14" s="170" t="s">
        <v>44</v>
      </c>
    </row>
    <row r="15" spans="1:12" x14ac:dyDescent="0.25">
      <c r="A15" s="385">
        <v>1</v>
      </c>
      <c r="B15" s="384"/>
      <c r="C15" s="386" t="s">
        <v>158</v>
      </c>
      <c r="D15" s="386"/>
      <c r="E15" s="383" t="s">
        <v>161</v>
      </c>
      <c r="F15" s="383"/>
      <c r="G15" s="59" t="s">
        <v>26</v>
      </c>
      <c r="H15" s="55">
        <v>318609</v>
      </c>
      <c r="I15" s="56"/>
      <c r="J15" s="57"/>
      <c r="K15" s="57"/>
      <c r="L15" s="58">
        <f t="shared" ref="L15:L40" si="0">H15</f>
        <v>318609</v>
      </c>
    </row>
    <row r="16" spans="1:12" x14ac:dyDescent="0.25">
      <c r="A16" s="385">
        <v>1</v>
      </c>
      <c r="B16" s="384"/>
      <c r="C16" s="386" t="s">
        <v>206</v>
      </c>
      <c r="D16" s="386"/>
      <c r="E16" s="383" t="s">
        <v>161</v>
      </c>
      <c r="F16" s="383"/>
      <c r="G16" s="59" t="s">
        <v>26</v>
      </c>
      <c r="H16" s="55">
        <v>313900</v>
      </c>
      <c r="I16" s="56"/>
      <c r="J16" s="57"/>
      <c r="K16" s="57"/>
      <c r="L16" s="58">
        <f t="shared" si="0"/>
        <v>313900</v>
      </c>
    </row>
    <row r="17" spans="1:12" x14ac:dyDescent="0.25">
      <c r="A17" s="387" t="s">
        <v>77</v>
      </c>
      <c r="B17" s="386"/>
      <c r="C17" s="384">
        <v>8</v>
      </c>
      <c r="D17" s="384"/>
      <c r="E17" s="388" t="s">
        <v>89</v>
      </c>
      <c r="F17" s="389"/>
      <c r="G17" s="172" t="s">
        <v>26</v>
      </c>
      <c r="H17" s="60">
        <v>1060500</v>
      </c>
      <c r="I17" s="56"/>
      <c r="J17" s="57"/>
      <c r="K17" s="57"/>
      <c r="L17" s="58">
        <f t="shared" si="0"/>
        <v>1060500</v>
      </c>
    </row>
    <row r="18" spans="1:12" x14ac:dyDescent="0.25">
      <c r="A18" s="387" t="s">
        <v>77</v>
      </c>
      <c r="B18" s="386"/>
      <c r="C18" s="384">
        <v>9</v>
      </c>
      <c r="D18" s="384"/>
      <c r="E18" s="388" t="s">
        <v>72</v>
      </c>
      <c r="F18" s="389"/>
      <c r="G18" s="172" t="s">
        <v>26</v>
      </c>
      <c r="H18" s="55">
        <v>672300</v>
      </c>
      <c r="I18" s="56"/>
      <c r="J18" s="57"/>
      <c r="K18" s="57"/>
      <c r="L18" s="58">
        <f t="shared" si="0"/>
        <v>672300</v>
      </c>
    </row>
    <row r="19" spans="1:12" x14ac:dyDescent="0.25">
      <c r="A19" s="387" t="s">
        <v>77</v>
      </c>
      <c r="B19" s="386"/>
      <c r="C19" s="384">
        <v>3</v>
      </c>
      <c r="D19" s="384"/>
      <c r="E19" s="388" t="s">
        <v>223</v>
      </c>
      <c r="F19" s="389"/>
      <c r="G19" s="172" t="s">
        <v>26</v>
      </c>
      <c r="H19" s="55">
        <v>1698315</v>
      </c>
      <c r="I19" s="56"/>
      <c r="J19" s="57"/>
      <c r="K19" s="57"/>
      <c r="L19" s="58">
        <f t="shared" si="0"/>
        <v>1698315</v>
      </c>
    </row>
    <row r="20" spans="1:12" x14ac:dyDescent="0.25">
      <c r="A20" s="387" t="s">
        <v>77</v>
      </c>
      <c r="B20" s="386"/>
      <c r="C20" s="322">
        <v>6</v>
      </c>
      <c r="D20" s="324"/>
      <c r="E20" s="392" t="s">
        <v>132</v>
      </c>
      <c r="F20" s="393"/>
      <c r="G20" s="172" t="s">
        <v>26</v>
      </c>
      <c r="H20" s="55">
        <v>564700</v>
      </c>
      <c r="I20" s="56"/>
      <c r="J20" s="57"/>
      <c r="K20" s="57"/>
      <c r="L20" s="58">
        <f t="shared" si="0"/>
        <v>564700</v>
      </c>
    </row>
    <row r="21" spans="1:12" x14ac:dyDescent="0.25">
      <c r="A21" s="385">
        <v>1</v>
      </c>
      <c r="B21" s="384"/>
      <c r="C21" s="386" t="s">
        <v>206</v>
      </c>
      <c r="D21" s="386"/>
      <c r="E21" s="383" t="s">
        <v>136</v>
      </c>
      <c r="F21" s="383"/>
      <c r="G21" s="59" t="s">
        <v>26</v>
      </c>
      <c r="H21" s="55">
        <v>656200</v>
      </c>
      <c r="I21" s="56"/>
      <c r="J21" s="57"/>
      <c r="K21" s="57"/>
      <c r="L21" s="58">
        <f t="shared" si="0"/>
        <v>656200</v>
      </c>
    </row>
    <row r="22" spans="1:12" x14ac:dyDescent="0.25">
      <c r="A22" s="375">
        <v>1</v>
      </c>
      <c r="B22" s="376"/>
      <c r="C22" s="322">
        <v>2</v>
      </c>
      <c r="D22" s="324"/>
      <c r="E22" s="383" t="s">
        <v>276</v>
      </c>
      <c r="F22" s="383"/>
      <c r="G22" s="59" t="s">
        <v>26</v>
      </c>
      <c r="H22" s="55">
        <v>883717</v>
      </c>
      <c r="I22" s="56"/>
      <c r="J22" s="57"/>
      <c r="K22" s="57"/>
      <c r="L22" s="58">
        <f t="shared" si="0"/>
        <v>883717</v>
      </c>
    </row>
    <row r="23" spans="1:12" x14ac:dyDescent="0.25">
      <c r="A23" s="375">
        <v>1</v>
      </c>
      <c r="B23" s="376"/>
      <c r="C23" s="384">
        <v>3</v>
      </c>
      <c r="D23" s="384"/>
      <c r="E23" s="383" t="s">
        <v>300</v>
      </c>
      <c r="F23" s="383"/>
      <c r="G23" s="59" t="s">
        <v>26</v>
      </c>
      <c r="H23" s="55">
        <v>901200</v>
      </c>
      <c r="I23" s="56"/>
      <c r="J23" s="57"/>
      <c r="K23" s="57"/>
      <c r="L23" s="58">
        <f t="shared" si="0"/>
        <v>901200</v>
      </c>
    </row>
    <row r="24" spans="1:12" x14ac:dyDescent="0.25">
      <c r="A24" s="375">
        <v>1</v>
      </c>
      <c r="B24" s="376"/>
      <c r="C24" s="322">
        <v>4</v>
      </c>
      <c r="D24" s="324"/>
      <c r="E24" s="392" t="s">
        <v>210</v>
      </c>
      <c r="F24" s="393"/>
      <c r="G24" s="59" t="s">
        <v>26</v>
      </c>
      <c r="H24" s="55">
        <v>792000</v>
      </c>
      <c r="I24" s="56"/>
      <c r="J24" s="57"/>
      <c r="K24" s="57"/>
      <c r="L24" s="58">
        <f t="shared" si="0"/>
        <v>792000</v>
      </c>
    </row>
    <row r="25" spans="1:12" x14ac:dyDescent="0.25">
      <c r="A25" s="375">
        <v>14</v>
      </c>
      <c r="B25" s="376"/>
      <c r="C25" s="379" t="s">
        <v>228</v>
      </c>
      <c r="D25" s="380"/>
      <c r="E25" s="381" t="s">
        <v>304</v>
      </c>
      <c r="F25" s="382"/>
      <c r="G25" s="59" t="s">
        <v>26</v>
      </c>
      <c r="H25" s="55">
        <v>8649195</v>
      </c>
      <c r="I25" s="56"/>
      <c r="J25" s="57"/>
      <c r="K25" s="57"/>
      <c r="L25" s="58">
        <f t="shared" si="0"/>
        <v>8649195</v>
      </c>
    </row>
    <row r="26" spans="1:12" x14ac:dyDescent="0.25">
      <c r="A26" s="375">
        <v>1</v>
      </c>
      <c r="B26" s="376"/>
      <c r="C26" s="379" t="s">
        <v>80</v>
      </c>
      <c r="D26" s="380"/>
      <c r="E26" s="381" t="s">
        <v>270</v>
      </c>
      <c r="F26" s="382"/>
      <c r="G26" s="59" t="s">
        <v>26</v>
      </c>
      <c r="H26" s="55">
        <v>1966844</v>
      </c>
      <c r="I26" s="56"/>
      <c r="J26" s="57"/>
      <c r="K26" s="57"/>
      <c r="L26" s="58">
        <f t="shared" si="0"/>
        <v>1966844</v>
      </c>
    </row>
    <row r="27" spans="1:12" x14ac:dyDescent="0.25">
      <c r="A27" s="375">
        <v>1</v>
      </c>
      <c r="B27" s="376"/>
      <c r="C27" s="322">
        <v>8</v>
      </c>
      <c r="D27" s="324"/>
      <c r="E27" s="381" t="s">
        <v>86</v>
      </c>
      <c r="F27" s="382"/>
      <c r="G27" s="172" t="s">
        <v>26</v>
      </c>
      <c r="H27" s="60">
        <v>570600</v>
      </c>
      <c r="I27" s="56"/>
      <c r="J27" s="57"/>
      <c r="K27" s="57"/>
      <c r="L27" s="58">
        <f t="shared" si="0"/>
        <v>570600</v>
      </c>
    </row>
    <row r="28" spans="1:12" x14ac:dyDescent="0.25">
      <c r="A28" s="375">
        <v>1</v>
      </c>
      <c r="B28" s="376"/>
      <c r="C28" s="322">
        <v>3</v>
      </c>
      <c r="D28" s="324"/>
      <c r="E28" s="383" t="s">
        <v>248</v>
      </c>
      <c r="F28" s="383"/>
      <c r="G28" s="172" t="s">
        <v>26</v>
      </c>
      <c r="H28" s="60">
        <v>788406</v>
      </c>
      <c r="I28" s="56"/>
      <c r="J28" s="57"/>
      <c r="K28" s="57"/>
      <c r="L28" s="58">
        <f t="shared" si="0"/>
        <v>788406</v>
      </c>
    </row>
    <row r="29" spans="1:12" x14ac:dyDescent="0.25">
      <c r="A29" s="375">
        <v>1</v>
      </c>
      <c r="B29" s="376"/>
      <c r="C29" s="379" t="s">
        <v>80</v>
      </c>
      <c r="D29" s="380"/>
      <c r="E29" s="377" t="s">
        <v>275</v>
      </c>
      <c r="F29" s="378"/>
      <c r="G29" s="172" t="s">
        <v>26</v>
      </c>
      <c r="H29" s="60">
        <v>888800</v>
      </c>
      <c r="I29" s="56"/>
      <c r="J29" s="57"/>
      <c r="K29" s="57"/>
      <c r="L29" s="58">
        <f t="shared" si="0"/>
        <v>888800</v>
      </c>
    </row>
    <row r="30" spans="1:12" x14ac:dyDescent="0.25">
      <c r="A30" s="375">
        <v>1</v>
      </c>
      <c r="B30" s="376"/>
      <c r="C30" s="411" t="s">
        <v>158</v>
      </c>
      <c r="D30" s="412"/>
      <c r="E30" s="381" t="s">
        <v>192</v>
      </c>
      <c r="F30" s="382"/>
      <c r="G30" s="172" t="s">
        <v>26</v>
      </c>
      <c r="H30" s="60">
        <v>425600</v>
      </c>
      <c r="I30" s="56"/>
      <c r="J30" s="57"/>
      <c r="K30" s="57"/>
      <c r="L30" s="58">
        <f t="shared" si="0"/>
        <v>425600</v>
      </c>
    </row>
    <row r="31" spans="1:12" x14ac:dyDescent="0.25">
      <c r="A31" s="375">
        <v>1</v>
      </c>
      <c r="B31" s="376"/>
      <c r="C31" s="375">
        <v>5</v>
      </c>
      <c r="D31" s="376"/>
      <c r="E31" s="381" t="s">
        <v>180</v>
      </c>
      <c r="F31" s="382"/>
      <c r="G31" s="172" t="s">
        <v>26</v>
      </c>
      <c r="H31" s="60">
        <v>600000</v>
      </c>
      <c r="I31" s="56"/>
      <c r="J31" s="57"/>
      <c r="K31" s="57"/>
      <c r="L31" s="58">
        <f t="shared" si="0"/>
        <v>600000</v>
      </c>
    </row>
    <row r="32" spans="1:12" x14ac:dyDescent="0.25">
      <c r="A32" s="375">
        <v>1</v>
      </c>
      <c r="B32" s="376"/>
      <c r="C32" s="375">
        <v>3</v>
      </c>
      <c r="D32" s="376"/>
      <c r="E32" s="381" t="s">
        <v>103</v>
      </c>
      <c r="F32" s="382"/>
      <c r="G32" s="172" t="s">
        <v>26</v>
      </c>
      <c r="H32" s="60">
        <v>1389700</v>
      </c>
      <c r="I32" s="56"/>
      <c r="J32" s="57"/>
      <c r="K32" s="57"/>
      <c r="L32" s="58">
        <f t="shared" si="0"/>
        <v>1389700</v>
      </c>
    </row>
    <row r="33" spans="1:12" x14ac:dyDescent="0.25">
      <c r="A33" s="375">
        <v>6</v>
      </c>
      <c r="B33" s="376"/>
      <c r="C33" s="375" t="s">
        <v>302</v>
      </c>
      <c r="D33" s="376"/>
      <c r="E33" s="381" t="s">
        <v>303</v>
      </c>
      <c r="F33" s="382"/>
      <c r="G33" s="172" t="s">
        <v>26</v>
      </c>
      <c r="H33" s="60">
        <v>3096773</v>
      </c>
      <c r="I33" s="56"/>
      <c r="J33" s="57"/>
      <c r="K33" s="57"/>
      <c r="L33" s="58">
        <f t="shared" si="0"/>
        <v>3096773</v>
      </c>
    </row>
    <row r="34" spans="1:12" x14ac:dyDescent="0.25">
      <c r="A34" s="375"/>
      <c r="B34" s="376"/>
      <c r="C34" s="411"/>
      <c r="D34" s="412"/>
      <c r="E34" s="381"/>
      <c r="F34" s="382"/>
      <c r="G34" s="172"/>
      <c r="H34" s="60"/>
      <c r="I34" s="56"/>
      <c r="J34" s="57"/>
      <c r="K34" s="57"/>
      <c r="L34" s="58">
        <f t="shared" si="0"/>
        <v>0</v>
      </c>
    </row>
    <row r="35" spans="1:12" x14ac:dyDescent="0.25">
      <c r="A35" s="375"/>
      <c r="B35" s="376"/>
      <c r="C35" s="375"/>
      <c r="D35" s="376"/>
      <c r="E35" s="381"/>
      <c r="F35" s="382"/>
      <c r="G35" s="172"/>
      <c r="H35" s="60"/>
      <c r="I35" s="56"/>
      <c r="J35" s="57"/>
      <c r="K35" s="57"/>
      <c r="L35" s="58">
        <f t="shared" si="0"/>
        <v>0</v>
      </c>
    </row>
    <row r="36" spans="1:12" x14ac:dyDescent="0.25">
      <c r="A36" s="375"/>
      <c r="B36" s="376"/>
      <c r="C36" s="411"/>
      <c r="D36" s="412"/>
      <c r="E36" s="381"/>
      <c r="F36" s="382"/>
      <c r="G36" s="172"/>
      <c r="H36" s="60"/>
      <c r="I36" s="56"/>
      <c r="J36" s="57"/>
      <c r="K36" s="57"/>
      <c r="L36" s="58">
        <f t="shared" si="0"/>
        <v>0</v>
      </c>
    </row>
    <row r="37" spans="1:12" x14ac:dyDescent="0.25">
      <c r="A37" s="375"/>
      <c r="B37" s="376"/>
      <c r="C37" s="379"/>
      <c r="D37" s="380"/>
      <c r="E37" s="381"/>
      <c r="F37" s="382"/>
      <c r="G37" s="172"/>
      <c r="H37" s="60"/>
      <c r="I37" s="56"/>
      <c r="J37" s="57"/>
      <c r="K37" s="57"/>
      <c r="L37" s="58">
        <f t="shared" si="0"/>
        <v>0</v>
      </c>
    </row>
    <row r="38" spans="1:12" x14ac:dyDescent="0.25">
      <c r="A38" s="375"/>
      <c r="B38" s="376"/>
      <c r="C38" s="322"/>
      <c r="D38" s="324"/>
      <c r="E38" s="392"/>
      <c r="F38" s="393"/>
      <c r="G38" s="172"/>
      <c r="H38" s="60"/>
      <c r="I38" s="56"/>
      <c r="J38" s="57"/>
      <c r="K38" s="57"/>
      <c r="L38" s="58">
        <f t="shared" si="0"/>
        <v>0</v>
      </c>
    </row>
    <row r="39" spans="1:12" x14ac:dyDescent="0.25">
      <c r="A39" s="375"/>
      <c r="B39" s="376"/>
      <c r="C39" s="379"/>
      <c r="D39" s="380"/>
      <c r="E39" s="381"/>
      <c r="F39" s="382"/>
      <c r="G39" s="172"/>
      <c r="H39" s="60"/>
      <c r="I39" s="56"/>
      <c r="J39" s="57"/>
      <c r="K39" s="57"/>
      <c r="L39" s="58">
        <f t="shared" si="0"/>
        <v>0</v>
      </c>
    </row>
    <row r="40" spans="1:12" x14ac:dyDescent="0.25">
      <c r="A40" s="375"/>
      <c r="B40" s="376"/>
      <c r="C40" s="322"/>
      <c r="D40" s="324"/>
      <c r="E40" s="392"/>
      <c r="F40" s="393"/>
      <c r="G40" s="172"/>
      <c r="H40" s="60"/>
      <c r="I40" s="56"/>
      <c r="J40" s="57"/>
      <c r="K40" s="57"/>
      <c r="L40" s="58">
        <f t="shared" si="0"/>
        <v>0</v>
      </c>
    </row>
    <row r="41" spans="1:12" x14ac:dyDescent="0.25">
      <c r="A41" s="322"/>
      <c r="B41" s="324"/>
      <c r="C41" s="61" t="s">
        <v>45</v>
      </c>
      <c r="D41" s="62"/>
      <c r="E41" s="62"/>
      <c r="F41" s="62"/>
      <c r="G41" s="62"/>
      <c r="H41" s="63">
        <f>SUM(H15:H40)</f>
        <v>26237359</v>
      </c>
      <c r="I41" s="334"/>
      <c r="J41" s="335"/>
      <c r="K41" s="336"/>
      <c r="L41" s="63">
        <f>SUM(L15:L40)</f>
        <v>26237359</v>
      </c>
    </row>
    <row r="42" spans="1:12" x14ac:dyDescent="0.25">
      <c r="A42" s="64"/>
      <c r="B42" s="38"/>
      <c r="C42" s="29"/>
      <c r="D42" s="30"/>
      <c r="E42" s="30"/>
      <c r="F42" s="30"/>
      <c r="G42" s="30"/>
      <c r="H42" s="31"/>
      <c r="I42" s="31"/>
      <c r="J42" s="31"/>
      <c r="K42" s="31"/>
      <c r="L42" s="32"/>
    </row>
    <row r="43" spans="1:12" x14ac:dyDescent="0.25">
      <c r="A43" s="48" t="s">
        <v>46</v>
      </c>
      <c r="B43" s="38"/>
      <c r="C43" s="29"/>
      <c r="D43" s="30"/>
      <c r="E43" s="30"/>
      <c r="F43" s="30"/>
      <c r="G43" s="30"/>
      <c r="H43" s="31"/>
      <c r="I43" s="31"/>
      <c r="J43" s="31"/>
      <c r="K43" s="31"/>
      <c r="L43" s="32"/>
    </row>
    <row r="44" spans="1:12" x14ac:dyDescent="0.25">
      <c r="A44" s="48"/>
      <c r="B44" s="30"/>
      <c r="C44" s="30"/>
      <c r="D44" s="30"/>
      <c r="E44" s="30"/>
      <c r="F44" s="30"/>
      <c r="G44" s="30"/>
      <c r="H44" s="31"/>
      <c r="I44" s="31"/>
      <c r="J44" s="31"/>
      <c r="K44" s="31"/>
      <c r="L44" s="32"/>
    </row>
    <row r="45" spans="1:12" x14ac:dyDescent="0.25">
      <c r="A45" s="357" t="s">
        <v>47</v>
      </c>
      <c r="B45" s="358"/>
      <c r="C45" s="363" t="s">
        <v>48</v>
      </c>
      <c r="D45" s="364"/>
      <c r="E45" s="357" t="s">
        <v>49</v>
      </c>
      <c r="F45" s="369"/>
      <c r="G45" s="369"/>
      <c r="H45" s="369"/>
      <c r="I45" s="369"/>
      <c r="J45" s="369"/>
      <c r="K45" s="358"/>
      <c r="L45" s="372" t="s">
        <v>50</v>
      </c>
    </row>
    <row r="46" spans="1:12" x14ac:dyDescent="0.25">
      <c r="A46" s="359"/>
      <c r="B46" s="360"/>
      <c r="C46" s="365"/>
      <c r="D46" s="366"/>
      <c r="E46" s="359"/>
      <c r="F46" s="370"/>
      <c r="G46" s="370"/>
      <c r="H46" s="370"/>
      <c r="I46" s="370"/>
      <c r="J46" s="370"/>
      <c r="K46" s="360"/>
      <c r="L46" s="373"/>
    </row>
    <row r="47" spans="1:12" x14ac:dyDescent="0.25">
      <c r="A47" s="361"/>
      <c r="B47" s="362"/>
      <c r="C47" s="367"/>
      <c r="D47" s="368"/>
      <c r="E47" s="361"/>
      <c r="F47" s="371"/>
      <c r="G47" s="371"/>
      <c r="H47" s="371"/>
      <c r="I47" s="371"/>
      <c r="J47" s="371"/>
      <c r="K47" s="362"/>
      <c r="L47" s="374"/>
    </row>
    <row r="48" spans="1:12" s="33" customFormat="1" x14ac:dyDescent="0.25">
      <c r="A48" s="352">
        <v>45974</v>
      </c>
      <c r="B48" s="353"/>
      <c r="C48" s="322" t="s">
        <v>100</v>
      </c>
      <c r="D48" s="324"/>
      <c r="E48" s="354" t="s">
        <v>244</v>
      </c>
      <c r="F48" s="355"/>
      <c r="G48" s="355"/>
      <c r="H48" s="355"/>
      <c r="I48" s="355"/>
      <c r="J48" s="355"/>
      <c r="K48" s="356"/>
      <c r="L48" s="55">
        <v>26237359</v>
      </c>
    </row>
    <row r="49" spans="1:13" s="33" customFormat="1" x14ac:dyDescent="0.25">
      <c r="A49" s="352"/>
      <c r="B49" s="353"/>
      <c r="C49" s="322"/>
      <c r="D49" s="324"/>
      <c r="E49" s="354"/>
      <c r="F49" s="355"/>
      <c r="G49" s="355"/>
      <c r="H49" s="355"/>
      <c r="I49" s="355"/>
      <c r="J49" s="355"/>
      <c r="K49" s="356"/>
      <c r="L49" s="55"/>
    </row>
    <row r="50" spans="1:13" x14ac:dyDescent="0.25">
      <c r="A50" s="352"/>
      <c r="B50" s="353"/>
      <c r="C50" s="322"/>
      <c r="D50" s="324"/>
      <c r="E50" s="354"/>
      <c r="F50" s="355"/>
      <c r="G50" s="355"/>
      <c r="H50" s="355"/>
      <c r="I50" s="355"/>
      <c r="J50" s="355"/>
      <c r="K50" s="356"/>
      <c r="L50" s="55"/>
      <c r="M50" s="33"/>
    </row>
    <row r="51" spans="1:13" x14ac:dyDescent="0.25">
      <c r="A51" s="352"/>
      <c r="B51" s="353"/>
      <c r="C51" s="322"/>
      <c r="D51" s="324"/>
      <c r="E51" s="354"/>
      <c r="F51" s="355"/>
      <c r="G51" s="355"/>
      <c r="H51" s="355"/>
      <c r="I51" s="355"/>
      <c r="J51" s="355"/>
      <c r="K51" s="356"/>
      <c r="L51" s="55"/>
    </row>
    <row r="52" spans="1:13" x14ac:dyDescent="0.25">
      <c r="A52" s="352"/>
      <c r="B52" s="353"/>
      <c r="C52" s="322"/>
      <c r="D52" s="324"/>
      <c r="E52" s="354"/>
      <c r="F52" s="355"/>
      <c r="G52" s="355"/>
      <c r="H52" s="355"/>
      <c r="I52" s="355"/>
      <c r="J52" s="355"/>
      <c r="K52" s="356"/>
      <c r="L52" s="55"/>
    </row>
    <row r="53" spans="1:13" x14ac:dyDescent="0.25">
      <c r="A53" s="352"/>
      <c r="B53" s="353"/>
      <c r="C53" s="322"/>
      <c r="D53" s="324"/>
      <c r="E53" s="354"/>
      <c r="F53" s="355"/>
      <c r="G53" s="355"/>
      <c r="H53" s="355"/>
      <c r="I53" s="355"/>
      <c r="J53" s="355"/>
      <c r="K53" s="356"/>
      <c r="L53" s="55"/>
    </row>
    <row r="54" spans="1:13" x14ac:dyDescent="0.25">
      <c r="A54" s="352"/>
      <c r="B54" s="353"/>
      <c r="C54" s="322"/>
      <c r="D54" s="324"/>
      <c r="E54" s="354"/>
      <c r="F54" s="355"/>
      <c r="G54" s="355"/>
      <c r="H54" s="355"/>
      <c r="I54" s="355"/>
      <c r="J54" s="355"/>
      <c r="K54" s="356"/>
      <c r="L54" s="55"/>
    </row>
    <row r="55" spans="1:13" x14ac:dyDescent="0.25">
      <c r="A55" s="352"/>
      <c r="B55" s="353"/>
      <c r="C55" s="322"/>
      <c r="D55" s="324"/>
      <c r="E55" s="354"/>
      <c r="F55" s="355"/>
      <c r="G55" s="355"/>
      <c r="H55" s="355"/>
      <c r="I55" s="355"/>
      <c r="J55" s="355"/>
      <c r="K55" s="356"/>
      <c r="L55" s="55"/>
    </row>
    <row r="56" spans="1:13" x14ac:dyDescent="0.25">
      <c r="A56" s="352"/>
      <c r="B56" s="353"/>
      <c r="C56" s="322"/>
      <c r="D56" s="324"/>
      <c r="E56" s="354"/>
      <c r="F56" s="355"/>
      <c r="G56" s="355"/>
      <c r="H56" s="355"/>
      <c r="I56" s="355"/>
      <c r="J56" s="355"/>
      <c r="K56" s="356"/>
      <c r="L56" s="55"/>
    </row>
    <row r="57" spans="1:13" x14ac:dyDescent="0.25">
      <c r="A57" s="334" t="s">
        <v>51</v>
      </c>
      <c r="B57" s="335"/>
      <c r="C57" s="335"/>
      <c r="D57" s="335"/>
      <c r="E57" s="335"/>
      <c r="F57" s="335"/>
      <c r="G57" s="335"/>
      <c r="H57" s="335"/>
      <c r="I57" s="335"/>
      <c r="J57" s="335"/>
      <c r="K57" s="336"/>
      <c r="L57" s="63">
        <f>SUM(L48:L56)</f>
        <v>26237359</v>
      </c>
    </row>
    <row r="58" spans="1:13" x14ac:dyDescent="0.25">
      <c r="A58" s="65"/>
      <c r="B58" s="66"/>
      <c r="C58" s="66"/>
      <c r="D58" s="66"/>
      <c r="E58" s="66"/>
      <c r="F58" s="66"/>
      <c r="G58" s="66"/>
      <c r="H58" s="31"/>
      <c r="I58" s="31"/>
      <c r="J58" s="31"/>
      <c r="K58" s="31"/>
      <c r="L58" s="31"/>
    </row>
    <row r="59" spans="1:13" x14ac:dyDescent="0.25">
      <c r="A59" s="48" t="s">
        <v>52</v>
      </c>
      <c r="B59" s="30"/>
      <c r="C59" s="30"/>
      <c r="D59" s="30"/>
      <c r="E59" s="30"/>
      <c r="F59" s="30"/>
      <c r="G59" s="30"/>
      <c r="H59" s="31"/>
      <c r="I59" s="31"/>
      <c r="J59" s="31"/>
      <c r="K59" s="31"/>
      <c r="L59" s="31"/>
    </row>
    <row r="60" spans="1:13" x14ac:dyDescent="0.25">
      <c r="A60" s="44"/>
      <c r="B60" s="45"/>
      <c r="C60" s="45"/>
      <c r="D60" s="45"/>
      <c r="E60" s="45"/>
      <c r="F60" s="45"/>
      <c r="G60" s="45"/>
      <c r="H60" s="31"/>
      <c r="I60" s="31"/>
      <c r="J60" s="46"/>
      <c r="K60" s="46"/>
      <c r="L60" s="31"/>
    </row>
    <row r="61" spans="1:13" x14ac:dyDescent="0.25">
      <c r="A61" s="337" t="s">
        <v>53</v>
      </c>
      <c r="B61" s="338"/>
      <c r="C61" s="337" t="s">
        <v>54</v>
      </c>
      <c r="D61" s="338"/>
      <c r="E61" s="168" t="s">
        <v>55</v>
      </c>
      <c r="F61" s="68" t="s">
        <v>37</v>
      </c>
      <c r="G61" s="339"/>
      <c r="H61" s="340"/>
      <c r="I61" s="340"/>
      <c r="J61" s="340"/>
      <c r="K61" s="341"/>
      <c r="L61" s="348" t="s">
        <v>56</v>
      </c>
    </row>
    <row r="62" spans="1:13" x14ac:dyDescent="0.25">
      <c r="A62" s="316"/>
      <c r="B62" s="317"/>
      <c r="C62" s="350" t="s">
        <v>57</v>
      </c>
      <c r="D62" s="351"/>
      <c r="E62" s="69"/>
      <c r="F62" s="44"/>
      <c r="G62" s="342"/>
      <c r="H62" s="343"/>
      <c r="I62" s="343"/>
      <c r="J62" s="343"/>
      <c r="K62" s="344"/>
      <c r="L62" s="349"/>
    </row>
    <row r="63" spans="1:13" x14ac:dyDescent="0.25">
      <c r="A63" s="310"/>
      <c r="B63" s="312"/>
      <c r="C63" s="310"/>
      <c r="D63" s="312"/>
      <c r="E63" s="70"/>
      <c r="F63" s="171"/>
      <c r="G63" s="342"/>
      <c r="H63" s="343"/>
      <c r="I63" s="343"/>
      <c r="J63" s="343"/>
      <c r="K63" s="344"/>
      <c r="L63" s="55"/>
    </row>
    <row r="64" spans="1:13" x14ac:dyDescent="0.25">
      <c r="A64" s="310"/>
      <c r="B64" s="312"/>
      <c r="C64" s="310"/>
      <c r="D64" s="312"/>
      <c r="E64" s="70"/>
      <c r="F64" s="64"/>
      <c r="G64" s="345"/>
      <c r="H64" s="346"/>
      <c r="I64" s="346"/>
      <c r="J64" s="346"/>
      <c r="K64" s="347"/>
      <c r="L64" s="72"/>
    </row>
    <row r="65" spans="1:13" x14ac:dyDescent="0.25">
      <c r="A65" s="322" t="s">
        <v>41</v>
      </c>
      <c r="B65" s="323"/>
      <c r="C65" s="323"/>
      <c r="D65" s="323"/>
      <c r="E65" s="323"/>
      <c r="F65" s="323"/>
      <c r="G65" s="323"/>
      <c r="H65" s="323"/>
      <c r="I65" s="323"/>
      <c r="J65" s="323"/>
      <c r="K65" s="324"/>
      <c r="L65" s="73">
        <f>SUM(L63:L64)</f>
        <v>0</v>
      </c>
    </row>
    <row r="66" spans="1:13" x14ac:dyDescent="0.25">
      <c r="A66" s="325"/>
      <c r="B66" s="326"/>
      <c r="C66" s="326"/>
      <c r="D66" s="326"/>
      <c r="E66" s="326"/>
      <c r="F66" s="326"/>
      <c r="G66" s="326"/>
      <c r="H66" s="326"/>
      <c r="I66" s="326"/>
      <c r="J66" s="326"/>
      <c r="K66" s="326"/>
      <c r="L66" s="326"/>
    </row>
    <row r="67" spans="1:13" x14ac:dyDescent="0.25">
      <c r="A67" s="327" t="s">
        <v>58</v>
      </c>
      <c r="B67" s="328"/>
      <c r="C67" s="328"/>
      <c r="D67" s="328"/>
      <c r="E67" s="328"/>
      <c r="F67" s="328"/>
      <c r="G67" s="328"/>
      <c r="H67" s="328"/>
      <c r="I67" s="328"/>
      <c r="J67" s="329"/>
      <c r="K67" s="330">
        <f>K9+L41-L57-L65</f>
        <v>0</v>
      </c>
      <c r="L67" s="330"/>
    </row>
    <row r="68" spans="1:13" x14ac:dyDescent="0.25">
      <c r="A68" s="331"/>
      <c r="B68" s="332"/>
      <c r="C68" s="332"/>
      <c r="D68" s="332"/>
      <c r="E68" s="332"/>
      <c r="F68" s="332"/>
      <c r="G68" s="332"/>
      <c r="H68" s="332"/>
      <c r="I68" s="332"/>
      <c r="J68" s="332"/>
      <c r="K68" s="332"/>
      <c r="L68" s="333"/>
    </row>
    <row r="69" spans="1:13" x14ac:dyDescent="0.25">
      <c r="A69" s="305" t="s">
        <v>59</v>
      </c>
      <c r="B69" s="305"/>
      <c r="C69" s="305"/>
      <c r="D69" s="305"/>
      <c r="E69" s="305"/>
      <c r="F69" s="305" t="s">
        <v>60</v>
      </c>
      <c r="G69" s="305"/>
      <c r="H69" s="305"/>
      <c r="I69" s="306"/>
      <c r="J69" s="309" t="s">
        <v>61</v>
      </c>
      <c r="K69" s="309"/>
      <c r="L69" s="309"/>
    </row>
    <row r="70" spans="1:13" x14ac:dyDescent="0.25">
      <c r="A70" s="310"/>
      <c r="B70" s="311"/>
      <c r="C70" s="311"/>
      <c r="D70" s="311"/>
      <c r="E70" s="312"/>
      <c r="F70" s="310"/>
      <c r="G70" s="311"/>
      <c r="H70" s="312"/>
      <c r="I70" s="307"/>
      <c r="J70" s="313"/>
      <c r="K70" s="314"/>
      <c r="L70" s="315"/>
      <c r="M70" s="74"/>
    </row>
    <row r="71" spans="1:13" x14ac:dyDescent="0.25">
      <c r="A71" s="316"/>
      <c r="B71" s="317"/>
      <c r="C71" s="317"/>
      <c r="D71" s="317"/>
      <c r="E71" s="318"/>
      <c r="F71" s="316"/>
      <c r="G71" s="317"/>
      <c r="H71" s="318"/>
      <c r="I71" s="308"/>
      <c r="J71" s="319"/>
      <c r="K71" s="320"/>
      <c r="L71" s="321"/>
    </row>
    <row r="72" spans="1:13" x14ac:dyDescent="0.25">
      <c r="A72" s="33"/>
      <c r="B72" s="33"/>
      <c r="C72" s="33"/>
      <c r="D72" s="33"/>
      <c r="E72" s="33"/>
      <c r="F72" s="33"/>
      <c r="G72" s="33"/>
      <c r="H72" s="75"/>
      <c r="I72" s="75"/>
      <c r="J72" s="75"/>
      <c r="K72" s="75"/>
      <c r="L72" s="75"/>
    </row>
  </sheetData>
  <mergeCells count="149">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A41:B41"/>
    <mergeCell ref="I41:K41"/>
    <mergeCell ref="A45:B47"/>
    <mergeCell ref="C45:D47"/>
    <mergeCell ref="E45:K47"/>
    <mergeCell ref="L45:L47"/>
    <mergeCell ref="A39:B39"/>
    <mergeCell ref="C39:D39"/>
    <mergeCell ref="E39:F39"/>
    <mergeCell ref="A40:B40"/>
    <mergeCell ref="C40:D40"/>
    <mergeCell ref="E40:F40"/>
    <mergeCell ref="A50:B50"/>
    <mergeCell ref="C50:D50"/>
    <mergeCell ref="E50:K50"/>
    <mergeCell ref="A51:B51"/>
    <mergeCell ref="C51:D51"/>
    <mergeCell ref="E51:K51"/>
    <mergeCell ref="A48:B48"/>
    <mergeCell ref="C48:D48"/>
    <mergeCell ref="E48:K48"/>
    <mergeCell ref="A49:B49"/>
    <mergeCell ref="C49:D49"/>
    <mergeCell ref="E49:K49"/>
    <mergeCell ref="A54:B54"/>
    <mergeCell ref="C54:D54"/>
    <mergeCell ref="E54:K54"/>
    <mergeCell ref="A55:B55"/>
    <mergeCell ref="C55:D55"/>
    <mergeCell ref="E55:K55"/>
    <mergeCell ref="A52:B52"/>
    <mergeCell ref="C52:D52"/>
    <mergeCell ref="E52:K52"/>
    <mergeCell ref="A53:B53"/>
    <mergeCell ref="C53:D53"/>
    <mergeCell ref="E53:K53"/>
    <mergeCell ref="L61:L62"/>
    <mergeCell ref="A62:B62"/>
    <mergeCell ref="C62:D62"/>
    <mergeCell ref="A63:B63"/>
    <mergeCell ref="C63:D63"/>
    <mergeCell ref="A64:B64"/>
    <mergeCell ref="C64:D64"/>
    <mergeCell ref="A56:B56"/>
    <mergeCell ref="C56:D56"/>
    <mergeCell ref="E56:K56"/>
    <mergeCell ref="A57:K57"/>
    <mergeCell ref="A61:B61"/>
    <mergeCell ref="C61:D61"/>
    <mergeCell ref="G61:K64"/>
    <mergeCell ref="F70:H70"/>
    <mergeCell ref="J70:L70"/>
    <mergeCell ref="A71:E71"/>
    <mergeCell ref="F71:H71"/>
    <mergeCell ref="J71:L71"/>
    <mergeCell ref="A65:K65"/>
    <mergeCell ref="A66:L66"/>
    <mergeCell ref="A67:J67"/>
    <mergeCell ref="K67:L67"/>
    <mergeCell ref="A68:L68"/>
    <mergeCell ref="A69:E69"/>
    <mergeCell ref="F69:H69"/>
    <mergeCell ref="I69:I71"/>
    <mergeCell ref="J69:L69"/>
    <mergeCell ref="A70:E7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
  <sheetViews>
    <sheetView topLeftCell="A53" workbookViewId="0">
      <selection activeCell="A57" sqref="A57:F57"/>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76" t="s">
        <v>27</v>
      </c>
      <c r="B6" s="175" t="s">
        <v>28</v>
      </c>
      <c r="C6" s="175" t="s">
        <v>29</v>
      </c>
      <c r="D6" s="30"/>
      <c r="E6" s="30"/>
      <c r="F6" s="30"/>
      <c r="G6" s="30"/>
      <c r="H6" s="31"/>
      <c r="I6" s="31"/>
      <c r="J6" s="31"/>
      <c r="K6" s="31"/>
      <c r="L6" s="32"/>
    </row>
    <row r="7" spans="1:12" x14ac:dyDescent="0.25">
      <c r="A7" s="41" t="s">
        <v>354</v>
      </c>
      <c r="B7" s="42" t="s">
        <v>140</v>
      </c>
      <c r="C7" s="43" t="s">
        <v>31</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78" t="s">
        <v>40</v>
      </c>
      <c r="K13" s="178" t="s">
        <v>40</v>
      </c>
      <c r="L13" s="178" t="s">
        <v>41</v>
      </c>
    </row>
    <row r="14" spans="1:12" x14ac:dyDescent="0.25">
      <c r="A14" s="396"/>
      <c r="B14" s="397"/>
      <c r="C14" s="396"/>
      <c r="D14" s="397"/>
      <c r="E14" s="361"/>
      <c r="F14" s="362"/>
      <c r="G14" s="399"/>
      <c r="H14" s="399"/>
      <c r="I14" s="399"/>
      <c r="J14" s="179" t="s">
        <v>42</v>
      </c>
      <c r="K14" s="179" t="s">
        <v>43</v>
      </c>
      <c r="L14" s="179" t="s">
        <v>44</v>
      </c>
    </row>
    <row r="15" spans="1:12" x14ac:dyDescent="0.25">
      <c r="A15" s="385">
        <v>1</v>
      </c>
      <c r="B15" s="384"/>
      <c r="C15" s="386" t="s">
        <v>158</v>
      </c>
      <c r="D15" s="386"/>
      <c r="E15" s="383" t="s">
        <v>193</v>
      </c>
      <c r="F15" s="383"/>
      <c r="G15" s="59" t="s">
        <v>26</v>
      </c>
      <c r="H15" s="55">
        <v>904200</v>
      </c>
      <c r="I15" s="56"/>
      <c r="J15" s="57"/>
      <c r="K15" s="57"/>
      <c r="L15" s="58">
        <f t="shared" ref="L15:L51" si="0">H15</f>
        <v>904200</v>
      </c>
    </row>
    <row r="16" spans="1:12" x14ac:dyDescent="0.25">
      <c r="A16" s="385">
        <v>1</v>
      </c>
      <c r="B16" s="384"/>
      <c r="C16" s="386" t="s">
        <v>158</v>
      </c>
      <c r="D16" s="386"/>
      <c r="E16" s="383" t="s">
        <v>191</v>
      </c>
      <c r="F16" s="383"/>
      <c r="G16" s="59" t="s">
        <v>26</v>
      </c>
      <c r="H16" s="55">
        <v>328300</v>
      </c>
      <c r="I16" s="56"/>
      <c r="J16" s="57"/>
      <c r="K16" s="57"/>
      <c r="L16" s="58">
        <f t="shared" si="0"/>
        <v>328300</v>
      </c>
    </row>
    <row r="17" spans="1:12" x14ac:dyDescent="0.25">
      <c r="A17" s="387" t="s">
        <v>77</v>
      </c>
      <c r="B17" s="386"/>
      <c r="C17" s="384">
        <v>6</v>
      </c>
      <c r="D17" s="384"/>
      <c r="E17" s="388" t="s">
        <v>160</v>
      </c>
      <c r="F17" s="389"/>
      <c r="G17" s="181" t="s">
        <v>26</v>
      </c>
      <c r="H17" s="60">
        <v>534800</v>
      </c>
      <c r="I17" s="56"/>
      <c r="J17" s="57"/>
      <c r="K17" s="57"/>
      <c r="L17" s="58">
        <f t="shared" si="0"/>
        <v>534800</v>
      </c>
    </row>
    <row r="18" spans="1:12" x14ac:dyDescent="0.25">
      <c r="A18" s="387" t="s">
        <v>77</v>
      </c>
      <c r="B18" s="386"/>
      <c r="C18" s="384">
        <v>7</v>
      </c>
      <c r="D18" s="384"/>
      <c r="E18" s="388" t="s">
        <v>136</v>
      </c>
      <c r="F18" s="389"/>
      <c r="G18" s="181" t="s">
        <v>26</v>
      </c>
      <c r="H18" s="55">
        <v>656200</v>
      </c>
      <c r="I18" s="56"/>
      <c r="J18" s="57"/>
      <c r="K18" s="57"/>
      <c r="L18" s="58">
        <f t="shared" si="0"/>
        <v>656200</v>
      </c>
    </row>
    <row r="19" spans="1:12" x14ac:dyDescent="0.25">
      <c r="A19" s="387" t="s">
        <v>77</v>
      </c>
      <c r="B19" s="386"/>
      <c r="C19" s="384">
        <v>1</v>
      </c>
      <c r="D19" s="384"/>
      <c r="E19" s="388" t="s">
        <v>305</v>
      </c>
      <c r="F19" s="389"/>
      <c r="G19" s="181" t="s">
        <v>26</v>
      </c>
      <c r="H19" s="55">
        <v>1526600</v>
      </c>
      <c r="I19" s="56"/>
      <c r="J19" s="57"/>
      <c r="K19" s="57"/>
      <c r="L19" s="58">
        <f t="shared" si="0"/>
        <v>1526600</v>
      </c>
    </row>
    <row r="20" spans="1:12" x14ac:dyDescent="0.25">
      <c r="A20" s="387" t="s">
        <v>77</v>
      </c>
      <c r="B20" s="386"/>
      <c r="C20" s="322">
        <v>5</v>
      </c>
      <c r="D20" s="324"/>
      <c r="E20" s="392" t="s">
        <v>249</v>
      </c>
      <c r="F20" s="393"/>
      <c r="G20" s="181" t="s">
        <v>240</v>
      </c>
      <c r="H20" s="55">
        <v>287300</v>
      </c>
      <c r="I20" s="56"/>
      <c r="J20" s="57"/>
      <c r="K20" s="57"/>
      <c r="L20" s="58">
        <f t="shared" si="0"/>
        <v>287300</v>
      </c>
    </row>
    <row r="21" spans="1:12" x14ac:dyDescent="0.25">
      <c r="A21" s="385">
        <v>1</v>
      </c>
      <c r="B21" s="384"/>
      <c r="C21" s="386" t="s">
        <v>188</v>
      </c>
      <c r="D21" s="386"/>
      <c r="E21" s="383" t="s">
        <v>250</v>
      </c>
      <c r="F21" s="383"/>
      <c r="G21" s="59" t="s">
        <v>240</v>
      </c>
      <c r="H21" s="55">
        <v>605800</v>
      </c>
      <c r="I21" s="56"/>
      <c r="J21" s="57"/>
      <c r="K21" s="57"/>
      <c r="L21" s="58">
        <f t="shared" si="0"/>
        <v>605800</v>
      </c>
    </row>
    <row r="22" spans="1:12" x14ac:dyDescent="0.25">
      <c r="A22" s="375">
        <v>14</v>
      </c>
      <c r="B22" s="376"/>
      <c r="C22" s="322" t="s">
        <v>228</v>
      </c>
      <c r="D22" s="324"/>
      <c r="E22" s="383" t="s">
        <v>307</v>
      </c>
      <c r="F22" s="383"/>
      <c r="G22" s="59" t="s">
        <v>240</v>
      </c>
      <c r="H22" s="55">
        <v>6615404</v>
      </c>
      <c r="I22" s="56"/>
      <c r="J22" s="57"/>
      <c r="K22" s="57"/>
      <c r="L22" s="58">
        <f t="shared" si="0"/>
        <v>6615404</v>
      </c>
    </row>
    <row r="23" spans="1:12" x14ac:dyDescent="0.25">
      <c r="A23" s="375">
        <v>1</v>
      </c>
      <c r="B23" s="376"/>
      <c r="C23" s="384">
        <v>5</v>
      </c>
      <c r="D23" s="384"/>
      <c r="E23" s="383" t="s">
        <v>186</v>
      </c>
      <c r="F23" s="383"/>
      <c r="G23" s="59" t="s">
        <v>26</v>
      </c>
      <c r="H23" s="55">
        <v>719423</v>
      </c>
      <c r="I23" s="56"/>
      <c r="J23" s="57"/>
      <c r="K23" s="57"/>
      <c r="L23" s="58">
        <f t="shared" si="0"/>
        <v>719423</v>
      </c>
    </row>
    <row r="24" spans="1:12" x14ac:dyDescent="0.25">
      <c r="A24" s="375">
        <v>1</v>
      </c>
      <c r="B24" s="376"/>
      <c r="C24" s="322">
        <v>2</v>
      </c>
      <c r="D24" s="324"/>
      <c r="E24" s="392" t="s">
        <v>279</v>
      </c>
      <c r="F24" s="393"/>
      <c r="G24" s="59" t="s">
        <v>26</v>
      </c>
      <c r="H24" s="55">
        <v>1096900</v>
      </c>
      <c r="I24" s="56"/>
      <c r="J24" s="57"/>
      <c r="K24" s="57"/>
      <c r="L24" s="58">
        <f t="shared" si="0"/>
        <v>1096900</v>
      </c>
    </row>
    <row r="25" spans="1:12" x14ac:dyDescent="0.25">
      <c r="A25" s="375">
        <v>1</v>
      </c>
      <c r="B25" s="376"/>
      <c r="C25" s="379" t="s">
        <v>142</v>
      </c>
      <c r="D25" s="380"/>
      <c r="E25" s="381" t="s">
        <v>276</v>
      </c>
      <c r="F25" s="382"/>
      <c r="G25" s="59" t="s">
        <v>26</v>
      </c>
      <c r="H25" s="55">
        <v>869800</v>
      </c>
      <c r="I25" s="56"/>
      <c r="J25" s="57"/>
      <c r="K25" s="57"/>
      <c r="L25" s="58">
        <f t="shared" si="0"/>
        <v>869800</v>
      </c>
    </row>
    <row r="26" spans="1:12" x14ac:dyDescent="0.25">
      <c r="A26" s="375">
        <v>1</v>
      </c>
      <c r="B26" s="376"/>
      <c r="C26" s="379" t="s">
        <v>188</v>
      </c>
      <c r="D26" s="380"/>
      <c r="E26" s="381" t="s">
        <v>227</v>
      </c>
      <c r="F26" s="382"/>
      <c r="G26" s="59" t="s">
        <v>26</v>
      </c>
      <c r="H26" s="55">
        <v>578500</v>
      </c>
      <c r="I26" s="56"/>
      <c r="J26" s="57"/>
      <c r="K26" s="57"/>
      <c r="L26" s="58">
        <f t="shared" si="0"/>
        <v>578500</v>
      </c>
    </row>
    <row r="27" spans="1:12" x14ac:dyDescent="0.25">
      <c r="A27" s="375">
        <v>1</v>
      </c>
      <c r="B27" s="376"/>
      <c r="C27" s="322">
        <v>3</v>
      </c>
      <c r="D27" s="324"/>
      <c r="E27" s="381" t="s">
        <v>264</v>
      </c>
      <c r="F27" s="382"/>
      <c r="G27" s="181" t="s">
        <v>26</v>
      </c>
      <c r="H27" s="60">
        <v>1033600</v>
      </c>
      <c r="I27" s="56"/>
      <c r="J27" s="57"/>
      <c r="K27" s="57"/>
      <c r="L27" s="58">
        <f t="shared" si="0"/>
        <v>1033600</v>
      </c>
    </row>
    <row r="28" spans="1:12" x14ac:dyDescent="0.25">
      <c r="A28" s="375">
        <v>1</v>
      </c>
      <c r="B28" s="376"/>
      <c r="C28" s="322">
        <v>9</v>
      </c>
      <c r="D28" s="324"/>
      <c r="E28" s="383" t="s">
        <v>83</v>
      </c>
      <c r="F28" s="383"/>
      <c r="G28" s="181" t="s">
        <v>26</v>
      </c>
      <c r="H28" s="60">
        <v>636400</v>
      </c>
      <c r="I28" s="56"/>
      <c r="J28" s="57"/>
      <c r="K28" s="57"/>
      <c r="L28" s="58">
        <f t="shared" si="0"/>
        <v>636400</v>
      </c>
    </row>
    <row r="29" spans="1:12" x14ac:dyDescent="0.25">
      <c r="A29" s="375">
        <v>1</v>
      </c>
      <c r="B29" s="376"/>
      <c r="C29" s="379" t="s">
        <v>74</v>
      </c>
      <c r="D29" s="380"/>
      <c r="E29" s="377" t="s">
        <v>71</v>
      </c>
      <c r="F29" s="378"/>
      <c r="G29" s="181" t="s">
        <v>26</v>
      </c>
      <c r="H29" s="60">
        <v>323400</v>
      </c>
      <c r="I29" s="56"/>
      <c r="J29" s="57"/>
      <c r="K29" s="57"/>
      <c r="L29" s="58">
        <f t="shared" si="0"/>
        <v>323400</v>
      </c>
    </row>
    <row r="30" spans="1:12" x14ac:dyDescent="0.25">
      <c r="A30" s="375">
        <v>2</v>
      </c>
      <c r="B30" s="376"/>
      <c r="C30" s="411" t="s">
        <v>190</v>
      </c>
      <c r="D30" s="412"/>
      <c r="E30" s="381" t="s">
        <v>267</v>
      </c>
      <c r="F30" s="382"/>
      <c r="G30" s="181" t="s">
        <v>26</v>
      </c>
      <c r="H30" s="60">
        <v>3143400</v>
      </c>
      <c r="I30" s="56"/>
      <c r="J30" s="57"/>
      <c r="K30" s="57"/>
      <c r="L30" s="58">
        <f t="shared" si="0"/>
        <v>3143400</v>
      </c>
    </row>
    <row r="31" spans="1:12" x14ac:dyDescent="0.25">
      <c r="A31" s="375">
        <v>1</v>
      </c>
      <c r="B31" s="376"/>
      <c r="C31" s="375">
        <v>1</v>
      </c>
      <c r="D31" s="376"/>
      <c r="E31" s="381" t="s">
        <v>310</v>
      </c>
      <c r="F31" s="382"/>
      <c r="G31" s="181" t="s">
        <v>26</v>
      </c>
      <c r="H31" s="60">
        <v>441300</v>
      </c>
      <c r="I31" s="56"/>
      <c r="J31" s="57"/>
      <c r="K31" s="57"/>
      <c r="L31" s="58">
        <f t="shared" si="0"/>
        <v>441300</v>
      </c>
    </row>
    <row r="32" spans="1:12" x14ac:dyDescent="0.25">
      <c r="A32" s="375">
        <v>1</v>
      </c>
      <c r="B32" s="376"/>
      <c r="C32" s="375">
        <v>8</v>
      </c>
      <c r="D32" s="376"/>
      <c r="E32" s="381" t="s">
        <v>104</v>
      </c>
      <c r="F32" s="382"/>
      <c r="G32" s="181" t="s">
        <v>26</v>
      </c>
      <c r="H32" s="60">
        <v>437502</v>
      </c>
      <c r="I32" s="56"/>
      <c r="J32" s="57"/>
      <c r="K32" s="57"/>
      <c r="L32" s="58">
        <f t="shared" si="0"/>
        <v>437502</v>
      </c>
    </row>
    <row r="33" spans="1:12" x14ac:dyDescent="0.25">
      <c r="A33" s="375">
        <v>1</v>
      </c>
      <c r="B33" s="376"/>
      <c r="C33" s="375">
        <v>3</v>
      </c>
      <c r="D33" s="376"/>
      <c r="E33" s="381" t="s">
        <v>251</v>
      </c>
      <c r="F33" s="382"/>
      <c r="G33" s="181" t="s">
        <v>26</v>
      </c>
      <c r="H33" s="60">
        <v>798589</v>
      </c>
      <c r="I33" s="56"/>
      <c r="J33" s="57"/>
      <c r="K33" s="57"/>
      <c r="L33" s="58">
        <f t="shared" si="0"/>
        <v>798589</v>
      </c>
    </row>
    <row r="34" spans="1:12" x14ac:dyDescent="0.25">
      <c r="A34" s="375">
        <v>1</v>
      </c>
      <c r="B34" s="376"/>
      <c r="C34" s="411" t="s">
        <v>158</v>
      </c>
      <c r="D34" s="412"/>
      <c r="E34" s="381" t="s">
        <v>194</v>
      </c>
      <c r="F34" s="382"/>
      <c r="G34" s="181" t="s">
        <v>26</v>
      </c>
      <c r="H34" s="60">
        <v>728700</v>
      </c>
      <c r="I34" s="56"/>
      <c r="J34" s="57"/>
      <c r="K34" s="57"/>
      <c r="L34" s="58">
        <f t="shared" si="0"/>
        <v>728700</v>
      </c>
    </row>
    <row r="35" spans="1:12" x14ac:dyDescent="0.25">
      <c r="A35" s="375">
        <v>1</v>
      </c>
      <c r="B35" s="376"/>
      <c r="C35" s="375">
        <v>1</v>
      </c>
      <c r="D35" s="376"/>
      <c r="E35" s="381" t="s">
        <v>311</v>
      </c>
      <c r="F35" s="382"/>
      <c r="G35" s="181" t="s">
        <v>26</v>
      </c>
      <c r="H35" s="60">
        <v>1383100</v>
      </c>
      <c r="I35" s="56"/>
      <c r="J35" s="57"/>
      <c r="K35" s="57"/>
      <c r="L35" s="58">
        <f t="shared" si="0"/>
        <v>1383100</v>
      </c>
    </row>
    <row r="36" spans="1:12" x14ac:dyDescent="0.25">
      <c r="A36" s="375">
        <v>1</v>
      </c>
      <c r="B36" s="376"/>
      <c r="C36" s="411" t="s">
        <v>188</v>
      </c>
      <c r="D36" s="412"/>
      <c r="E36" s="381" t="s">
        <v>223</v>
      </c>
      <c r="F36" s="382"/>
      <c r="G36" s="181" t="s">
        <v>26</v>
      </c>
      <c r="H36" s="60">
        <v>1681500</v>
      </c>
      <c r="I36" s="56"/>
      <c r="J36" s="57"/>
      <c r="K36" s="57"/>
      <c r="L36" s="58">
        <f t="shared" si="0"/>
        <v>1681500</v>
      </c>
    </row>
    <row r="37" spans="1:12" x14ac:dyDescent="0.25">
      <c r="A37" s="375">
        <v>1</v>
      </c>
      <c r="B37" s="376"/>
      <c r="C37" s="379" t="s">
        <v>142</v>
      </c>
      <c r="D37" s="380"/>
      <c r="E37" s="381" t="s">
        <v>283</v>
      </c>
      <c r="F37" s="382"/>
      <c r="G37" s="181" t="s">
        <v>26</v>
      </c>
      <c r="H37" s="60">
        <v>1080900</v>
      </c>
      <c r="I37" s="56"/>
      <c r="J37" s="57"/>
      <c r="K37" s="57"/>
      <c r="L37" s="58">
        <f t="shared" si="0"/>
        <v>1080900</v>
      </c>
    </row>
    <row r="38" spans="1:12" x14ac:dyDescent="0.25">
      <c r="A38" s="375">
        <v>1</v>
      </c>
      <c r="B38" s="376"/>
      <c r="C38" s="322">
        <v>2</v>
      </c>
      <c r="D38" s="324"/>
      <c r="E38" s="392" t="s">
        <v>286</v>
      </c>
      <c r="F38" s="393"/>
      <c r="G38" s="181" t="s">
        <v>26</v>
      </c>
      <c r="H38" s="60">
        <v>1007800</v>
      </c>
      <c r="I38" s="56"/>
      <c r="J38" s="57"/>
      <c r="K38" s="57"/>
      <c r="L38" s="58">
        <f t="shared" si="0"/>
        <v>1007800</v>
      </c>
    </row>
    <row r="39" spans="1:12" x14ac:dyDescent="0.25">
      <c r="A39" s="375">
        <v>1</v>
      </c>
      <c r="B39" s="376"/>
      <c r="C39" s="379" t="s">
        <v>206</v>
      </c>
      <c r="D39" s="380"/>
      <c r="E39" s="381" t="s">
        <v>312</v>
      </c>
      <c r="F39" s="382"/>
      <c r="G39" s="181" t="s">
        <v>26</v>
      </c>
      <c r="H39" s="60">
        <v>782600</v>
      </c>
      <c r="I39" s="56"/>
      <c r="J39" s="57"/>
      <c r="K39" s="57"/>
      <c r="L39" s="58">
        <f t="shared" si="0"/>
        <v>782600</v>
      </c>
    </row>
    <row r="40" spans="1:12" x14ac:dyDescent="0.25">
      <c r="A40" s="375">
        <v>2</v>
      </c>
      <c r="B40" s="376"/>
      <c r="C40" s="411" t="s">
        <v>313</v>
      </c>
      <c r="D40" s="412"/>
      <c r="E40" s="392" t="s">
        <v>314</v>
      </c>
      <c r="F40" s="393"/>
      <c r="G40" s="181" t="s">
        <v>26</v>
      </c>
      <c r="H40" s="60">
        <v>2772600</v>
      </c>
      <c r="I40" s="56"/>
      <c r="J40" s="57"/>
      <c r="K40" s="57"/>
      <c r="L40" s="58">
        <f t="shared" si="0"/>
        <v>2772600</v>
      </c>
    </row>
    <row r="41" spans="1:12" x14ac:dyDescent="0.25">
      <c r="A41" s="375">
        <v>1</v>
      </c>
      <c r="B41" s="376"/>
      <c r="C41" s="411" t="s">
        <v>265</v>
      </c>
      <c r="D41" s="412"/>
      <c r="E41" s="392" t="s">
        <v>107</v>
      </c>
      <c r="F41" s="393"/>
      <c r="G41" s="181" t="s">
        <v>26</v>
      </c>
      <c r="H41" s="60">
        <v>650057</v>
      </c>
      <c r="I41" s="56"/>
      <c r="J41" s="57"/>
      <c r="K41" s="57"/>
      <c r="L41" s="58">
        <f t="shared" si="0"/>
        <v>650057</v>
      </c>
    </row>
    <row r="42" spans="1:12" x14ac:dyDescent="0.25">
      <c r="A42" s="375">
        <v>1</v>
      </c>
      <c r="B42" s="376"/>
      <c r="C42" s="411" t="s">
        <v>265</v>
      </c>
      <c r="D42" s="412"/>
      <c r="E42" s="392" t="s">
        <v>134</v>
      </c>
      <c r="F42" s="393"/>
      <c r="G42" s="181" t="s">
        <v>26</v>
      </c>
      <c r="H42" s="60">
        <v>317700</v>
      </c>
      <c r="I42" s="56"/>
      <c r="J42" s="57"/>
      <c r="K42" s="57"/>
      <c r="L42" s="58">
        <f t="shared" si="0"/>
        <v>317700</v>
      </c>
    </row>
    <row r="43" spans="1:12" x14ac:dyDescent="0.25">
      <c r="A43" s="375">
        <v>1</v>
      </c>
      <c r="B43" s="376"/>
      <c r="C43" s="411" t="s">
        <v>265</v>
      </c>
      <c r="D43" s="412"/>
      <c r="E43" s="392" t="s">
        <v>135</v>
      </c>
      <c r="F43" s="393"/>
      <c r="G43" s="181" t="s">
        <v>26</v>
      </c>
      <c r="H43" s="60">
        <v>920600</v>
      </c>
      <c r="I43" s="56"/>
      <c r="J43" s="57"/>
      <c r="K43" s="57"/>
      <c r="L43" s="58">
        <f t="shared" si="0"/>
        <v>920600</v>
      </c>
    </row>
    <row r="44" spans="1:12" x14ac:dyDescent="0.25">
      <c r="A44" s="375">
        <v>3</v>
      </c>
      <c r="B44" s="376"/>
      <c r="C44" s="411" t="s">
        <v>268</v>
      </c>
      <c r="D44" s="412"/>
      <c r="E44" s="392" t="s">
        <v>316</v>
      </c>
      <c r="F44" s="393"/>
      <c r="G44" s="181" t="s">
        <v>26</v>
      </c>
      <c r="H44" s="60">
        <v>3185700</v>
      </c>
      <c r="I44" s="56"/>
      <c r="J44" s="57"/>
      <c r="K44" s="57"/>
      <c r="L44" s="58">
        <f t="shared" si="0"/>
        <v>3185700</v>
      </c>
    </row>
    <row r="45" spans="1:12" x14ac:dyDescent="0.25">
      <c r="A45" s="375">
        <v>1</v>
      </c>
      <c r="B45" s="376"/>
      <c r="C45" s="411" t="s">
        <v>217</v>
      </c>
      <c r="D45" s="412"/>
      <c r="E45" s="392" t="s">
        <v>106</v>
      </c>
      <c r="F45" s="393"/>
      <c r="G45" s="181" t="s">
        <v>26</v>
      </c>
      <c r="H45" s="60">
        <v>418100</v>
      </c>
      <c r="I45" s="56"/>
      <c r="J45" s="57"/>
      <c r="K45" s="57"/>
      <c r="L45" s="58">
        <f t="shared" si="0"/>
        <v>418100</v>
      </c>
    </row>
    <row r="46" spans="1:12" x14ac:dyDescent="0.25">
      <c r="A46" s="375">
        <v>1</v>
      </c>
      <c r="B46" s="376"/>
      <c r="C46" s="411" t="s">
        <v>158</v>
      </c>
      <c r="D46" s="412"/>
      <c r="E46" s="392" t="s">
        <v>197</v>
      </c>
      <c r="F46" s="393"/>
      <c r="G46" s="181" t="s">
        <v>26</v>
      </c>
      <c r="H46" s="60">
        <v>481700</v>
      </c>
      <c r="I46" s="56"/>
      <c r="J46" s="57"/>
      <c r="K46" s="57"/>
      <c r="L46" s="58">
        <f t="shared" si="0"/>
        <v>481700</v>
      </c>
    </row>
    <row r="47" spans="1:12" x14ac:dyDescent="0.25">
      <c r="A47" s="375">
        <v>1</v>
      </c>
      <c r="B47" s="376"/>
      <c r="C47" s="411" t="s">
        <v>142</v>
      </c>
      <c r="D47" s="412"/>
      <c r="E47" s="392" t="s">
        <v>341</v>
      </c>
      <c r="F47" s="393"/>
      <c r="G47" s="182" t="s">
        <v>26</v>
      </c>
      <c r="H47" s="60">
        <v>27448</v>
      </c>
      <c r="I47" s="56"/>
      <c r="J47" s="57"/>
      <c r="K47" s="57"/>
      <c r="L47" s="58">
        <f t="shared" si="0"/>
        <v>27448</v>
      </c>
    </row>
    <row r="48" spans="1:12" x14ac:dyDescent="0.25">
      <c r="A48" s="375">
        <v>1</v>
      </c>
      <c r="B48" s="376"/>
      <c r="C48" s="411" t="s">
        <v>188</v>
      </c>
      <c r="D48" s="412"/>
      <c r="E48" s="392" t="s">
        <v>207</v>
      </c>
      <c r="F48" s="393"/>
      <c r="G48" s="182" t="s">
        <v>26</v>
      </c>
      <c r="H48" s="60">
        <v>932254</v>
      </c>
      <c r="I48" s="56"/>
      <c r="J48" s="57"/>
      <c r="K48" s="57"/>
      <c r="L48" s="58">
        <f t="shared" si="0"/>
        <v>932254</v>
      </c>
    </row>
    <row r="49" spans="1:12" x14ac:dyDescent="0.25">
      <c r="A49" s="375">
        <v>1</v>
      </c>
      <c r="B49" s="376"/>
      <c r="C49" s="411" t="s">
        <v>158</v>
      </c>
      <c r="D49" s="412"/>
      <c r="E49" s="392" t="s">
        <v>207</v>
      </c>
      <c r="F49" s="393"/>
      <c r="G49" s="182" t="s">
        <v>26</v>
      </c>
      <c r="H49" s="60">
        <v>901600</v>
      </c>
      <c r="I49" s="56"/>
      <c r="J49" s="57"/>
      <c r="K49" s="57"/>
      <c r="L49" s="58">
        <f t="shared" si="0"/>
        <v>901600</v>
      </c>
    </row>
    <row r="50" spans="1:12" x14ac:dyDescent="0.25">
      <c r="A50" s="375">
        <v>1</v>
      </c>
      <c r="B50" s="376"/>
      <c r="C50" s="411" t="s">
        <v>217</v>
      </c>
      <c r="D50" s="412"/>
      <c r="E50" s="392" t="s">
        <v>105</v>
      </c>
      <c r="F50" s="393"/>
      <c r="G50" s="182" t="s">
        <v>26</v>
      </c>
      <c r="H50" s="60">
        <v>489426</v>
      </c>
      <c r="I50" s="56"/>
      <c r="J50" s="57"/>
      <c r="K50" s="57"/>
      <c r="L50" s="58">
        <f t="shared" si="0"/>
        <v>489426</v>
      </c>
    </row>
    <row r="51" spans="1:12" x14ac:dyDescent="0.25">
      <c r="A51" s="375">
        <v>1</v>
      </c>
      <c r="B51" s="376"/>
      <c r="C51" s="411" t="s">
        <v>342</v>
      </c>
      <c r="D51" s="412"/>
      <c r="E51" s="392" t="s">
        <v>105</v>
      </c>
      <c r="F51" s="393"/>
      <c r="G51" s="182" t="s">
        <v>26</v>
      </c>
      <c r="H51" s="60">
        <v>480300</v>
      </c>
      <c r="I51" s="56"/>
      <c r="J51" s="57"/>
      <c r="K51" s="57"/>
      <c r="L51" s="58">
        <f t="shared" si="0"/>
        <v>480300</v>
      </c>
    </row>
    <row r="52" spans="1:12" x14ac:dyDescent="0.25">
      <c r="A52" s="375">
        <v>1</v>
      </c>
      <c r="B52" s="376"/>
      <c r="C52" s="411" t="s">
        <v>142</v>
      </c>
      <c r="D52" s="412"/>
      <c r="E52" s="392" t="s">
        <v>270</v>
      </c>
      <c r="F52" s="393"/>
      <c r="G52" s="182" t="s">
        <v>26</v>
      </c>
      <c r="H52" s="60">
        <v>1949300</v>
      </c>
      <c r="I52" s="56"/>
      <c r="J52" s="57"/>
      <c r="K52" s="57"/>
      <c r="L52" s="58">
        <f t="shared" ref="L52" si="1">H52</f>
        <v>1949300</v>
      </c>
    </row>
    <row r="53" spans="1:12" x14ac:dyDescent="0.25">
      <c r="A53" s="375">
        <v>1</v>
      </c>
      <c r="B53" s="376"/>
      <c r="C53" s="411" t="s">
        <v>74</v>
      </c>
      <c r="D53" s="412"/>
      <c r="E53" s="392" t="s">
        <v>72</v>
      </c>
      <c r="F53" s="393"/>
      <c r="G53" s="182" t="s">
        <v>26</v>
      </c>
      <c r="H53" s="60">
        <v>672300</v>
      </c>
      <c r="I53" s="56"/>
      <c r="J53" s="57"/>
      <c r="K53" s="57"/>
      <c r="L53" s="58">
        <f t="shared" ref="L53:L57" si="2">H53</f>
        <v>672300</v>
      </c>
    </row>
    <row r="54" spans="1:12" x14ac:dyDescent="0.25">
      <c r="A54" s="375">
        <v>1</v>
      </c>
      <c r="B54" s="376"/>
      <c r="C54" s="411" t="s">
        <v>342</v>
      </c>
      <c r="D54" s="412"/>
      <c r="E54" s="392" t="s">
        <v>89</v>
      </c>
      <c r="F54" s="393"/>
      <c r="G54" s="182" t="s">
        <v>26</v>
      </c>
      <c r="H54" s="60">
        <v>1060500</v>
      </c>
      <c r="I54" s="56"/>
      <c r="J54" s="57"/>
      <c r="K54" s="57"/>
      <c r="L54" s="58">
        <f t="shared" si="2"/>
        <v>1060500</v>
      </c>
    </row>
    <row r="55" spans="1:12" x14ac:dyDescent="0.25">
      <c r="A55" s="375">
        <v>6</v>
      </c>
      <c r="B55" s="376"/>
      <c r="C55" s="411" t="s">
        <v>352</v>
      </c>
      <c r="D55" s="412"/>
      <c r="E55" s="392" t="s">
        <v>353</v>
      </c>
      <c r="F55" s="393"/>
      <c r="G55" s="182" t="s">
        <v>240</v>
      </c>
      <c r="H55" s="60">
        <v>7882200</v>
      </c>
      <c r="I55" s="56"/>
      <c r="J55" s="57"/>
      <c r="K55" s="57"/>
      <c r="L55" s="58">
        <f t="shared" si="2"/>
        <v>7882200</v>
      </c>
    </row>
    <row r="56" spans="1:12" x14ac:dyDescent="0.25">
      <c r="A56" s="375">
        <v>1</v>
      </c>
      <c r="B56" s="376"/>
      <c r="C56" s="411" t="s">
        <v>265</v>
      </c>
      <c r="D56" s="412"/>
      <c r="E56" s="392" t="s">
        <v>132</v>
      </c>
      <c r="F56" s="393"/>
      <c r="G56" s="182" t="s">
        <v>26</v>
      </c>
      <c r="H56" s="60">
        <v>564700</v>
      </c>
      <c r="I56" s="56"/>
      <c r="J56" s="57"/>
      <c r="K56" s="57"/>
      <c r="L56" s="58">
        <f t="shared" si="2"/>
        <v>564700</v>
      </c>
    </row>
    <row r="57" spans="1:12" x14ac:dyDescent="0.25">
      <c r="A57" s="390">
        <v>46007</v>
      </c>
      <c r="B57" s="391"/>
      <c r="C57" s="322">
        <v>1</v>
      </c>
      <c r="D57" s="324"/>
      <c r="E57" s="392" t="s">
        <v>64</v>
      </c>
      <c r="F57" s="393"/>
      <c r="G57" s="182" t="s">
        <v>26</v>
      </c>
      <c r="H57" s="60">
        <v>66999797</v>
      </c>
      <c r="I57" s="190"/>
      <c r="J57" s="191"/>
      <c r="K57" s="192"/>
      <c r="L57" s="58">
        <f t="shared" si="2"/>
        <v>66999797</v>
      </c>
    </row>
    <row r="58" spans="1:12" x14ac:dyDescent="0.25">
      <c r="A58" s="322"/>
      <c r="B58" s="324"/>
      <c r="C58" s="61" t="s">
        <v>45</v>
      </c>
      <c r="D58" s="62"/>
      <c r="E58" s="62"/>
      <c r="F58" s="62"/>
      <c r="G58" s="62"/>
      <c r="H58" s="63">
        <f>SUM(H15:H57)</f>
        <v>118908300</v>
      </c>
      <c r="I58" s="334"/>
      <c r="J58" s="335"/>
      <c r="K58" s="336"/>
      <c r="L58" s="63">
        <f>SUM(L15:L57)</f>
        <v>118908300</v>
      </c>
    </row>
    <row r="59" spans="1:12" x14ac:dyDescent="0.25">
      <c r="A59" s="64"/>
      <c r="B59" s="38"/>
      <c r="C59" s="29"/>
      <c r="D59" s="30"/>
      <c r="E59" s="30"/>
      <c r="F59" s="30"/>
      <c r="G59" s="30"/>
      <c r="H59" s="31"/>
      <c r="I59" s="31"/>
      <c r="J59" s="31"/>
      <c r="K59" s="31"/>
      <c r="L59" s="32"/>
    </row>
    <row r="60" spans="1:12" x14ac:dyDescent="0.25">
      <c r="A60" s="48" t="s">
        <v>46</v>
      </c>
      <c r="B60" s="38"/>
      <c r="C60" s="29"/>
      <c r="D60" s="30"/>
      <c r="E60" s="30"/>
      <c r="F60" s="30"/>
      <c r="G60" s="30"/>
      <c r="H60" s="31"/>
      <c r="I60" s="31"/>
      <c r="J60" s="31"/>
      <c r="K60" s="31"/>
      <c r="L60" s="32"/>
    </row>
    <row r="61" spans="1:12" x14ac:dyDescent="0.25">
      <c r="A61" s="48"/>
      <c r="B61" s="30"/>
      <c r="C61" s="30"/>
      <c r="D61" s="30"/>
      <c r="E61" s="30"/>
      <c r="F61" s="30"/>
      <c r="G61" s="30"/>
      <c r="H61" s="31"/>
      <c r="I61" s="31"/>
      <c r="J61" s="31"/>
      <c r="K61" s="31"/>
      <c r="L61" s="32"/>
    </row>
    <row r="62" spans="1:12" x14ac:dyDescent="0.25">
      <c r="A62" s="357" t="s">
        <v>47</v>
      </c>
      <c r="B62" s="358"/>
      <c r="C62" s="363" t="s">
        <v>48</v>
      </c>
      <c r="D62" s="364"/>
      <c r="E62" s="357" t="s">
        <v>49</v>
      </c>
      <c r="F62" s="369"/>
      <c r="G62" s="369"/>
      <c r="H62" s="369"/>
      <c r="I62" s="369"/>
      <c r="J62" s="369"/>
      <c r="K62" s="358"/>
      <c r="L62" s="372" t="s">
        <v>50</v>
      </c>
    </row>
    <row r="63" spans="1:12" x14ac:dyDescent="0.25">
      <c r="A63" s="359"/>
      <c r="B63" s="360"/>
      <c r="C63" s="365"/>
      <c r="D63" s="366"/>
      <c r="E63" s="359"/>
      <c r="F63" s="370"/>
      <c r="G63" s="370"/>
      <c r="H63" s="370"/>
      <c r="I63" s="370"/>
      <c r="J63" s="370"/>
      <c r="K63" s="360"/>
      <c r="L63" s="373"/>
    </row>
    <row r="64" spans="1:12" x14ac:dyDescent="0.25">
      <c r="A64" s="361"/>
      <c r="B64" s="362"/>
      <c r="C64" s="367"/>
      <c r="D64" s="368"/>
      <c r="E64" s="361"/>
      <c r="F64" s="371"/>
      <c r="G64" s="371"/>
      <c r="H64" s="371"/>
      <c r="I64" s="371"/>
      <c r="J64" s="371"/>
      <c r="K64" s="362"/>
      <c r="L64" s="374"/>
    </row>
    <row r="65" spans="1:13" x14ac:dyDescent="0.25">
      <c r="A65" s="352">
        <v>45980</v>
      </c>
      <c r="B65" s="353"/>
      <c r="C65" s="322">
        <v>2810</v>
      </c>
      <c r="D65" s="324"/>
      <c r="E65" s="354" t="s">
        <v>317</v>
      </c>
      <c r="F65" s="355"/>
      <c r="G65" s="355"/>
      <c r="H65" s="355"/>
      <c r="I65" s="355"/>
      <c r="J65" s="355"/>
      <c r="K65" s="356"/>
      <c r="L65" s="55">
        <v>7353000</v>
      </c>
    </row>
    <row r="66" spans="1:13" s="33" customFormat="1" x14ac:dyDescent="0.25">
      <c r="A66" s="352">
        <v>45982</v>
      </c>
      <c r="B66" s="353"/>
      <c r="C66" s="322" t="s">
        <v>100</v>
      </c>
      <c r="D66" s="324"/>
      <c r="E66" s="354" t="s">
        <v>306</v>
      </c>
      <c r="F66" s="355"/>
      <c r="G66" s="355"/>
      <c r="H66" s="355"/>
      <c r="I66" s="355"/>
      <c r="J66" s="355"/>
      <c r="K66" s="356"/>
      <c r="L66" s="55">
        <v>160000</v>
      </c>
    </row>
    <row r="67" spans="1:13" s="33" customFormat="1" x14ac:dyDescent="0.25">
      <c r="A67" s="352">
        <v>45985</v>
      </c>
      <c r="B67" s="353"/>
      <c r="C67" s="322">
        <v>2817</v>
      </c>
      <c r="D67" s="324"/>
      <c r="E67" s="354" t="s">
        <v>319</v>
      </c>
      <c r="F67" s="355"/>
      <c r="G67" s="355"/>
      <c r="H67" s="355"/>
      <c r="I67" s="355"/>
      <c r="J67" s="355"/>
      <c r="K67" s="356"/>
      <c r="L67" s="55">
        <v>8127000</v>
      </c>
    </row>
    <row r="68" spans="1:13" s="33" customFormat="1" x14ac:dyDescent="0.25">
      <c r="A68" s="352">
        <v>45986</v>
      </c>
      <c r="B68" s="353"/>
      <c r="C68" s="322">
        <v>2825</v>
      </c>
      <c r="D68" s="324"/>
      <c r="E68" s="354" t="s">
        <v>321</v>
      </c>
      <c r="F68" s="355"/>
      <c r="G68" s="355"/>
      <c r="H68" s="355"/>
      <c r="I68" s="355"/>
      <c r="J68" s="355"/>
      <c r="K68" s="356"/>
      <c r="L68" s="55">
        <v>5983000</v>
      </c>
    </row>
    <row r="69" spans="1:13" s="33" customFormat="1" x14ac:dyDescent="0.25">
      <c r="A69" s="352">
        <v>45986</v>
      </c>
      <c r="B69" s="353"/>
      <c r="C69" s="322">
        <v>2826</v>
      </c>
      <c r="D69" s="324"/>
      <c r="E69" s="354" t="s">
        <v>323</v>
      </c>
      <c r="F69" s="355"/>
      <c r="G69" s="355"/>
      <c r="H69" s="355"/>
      <c r="I69" s="355"/>
      <c r="J69" s="355"/>
      <c r="K69" s="356"/>
      <c r="L69" s="55">
        <v>7353000</v>
      </c>
    </row>
    <row r="70" spans="1:13" s="33" customFormat="1" x14ac:dyDescent="0.25">
      <c r="A70" s="352">
        <v>45986</v>
      </c>
      <c r="B70" s="353"/>
      <c r="C70" s="322">
        <v>2828</v>
      </c>
      <c r="D70" s="324"/>
      <c r="E70" s="354" t="s">
        <v>308</v>
      </c>
      <c r="F70" s="355"/>
      <c r="G70" s="355"/>
      <c r="H70" s="355"/>
      <c r="I70" s="355"/>
      <c r="J70" s="355"/>
      <c r="K70" s="356"/>
      <c r="L70" s="55">
        <v>5820000</v>
      </c>
    </row>
    <row r="71" spans="1:13" s="33" customFormat="1" x14ac:dyDescent="0.25">
      <c r="A71" s="352">
        <v>45990</v>
      </c>
      <c r="B71" s="353"/>
      <c r="C71" s="322">
        <v>2835</v>
      </c>
      <c r="D71" s="324"/>
      <c r="E71" s="354" t="s">
        <v>325</v>
      </c>
      <c r="F71" s="355"/>
      <c r="G71" s="355"/>
      <c r="H71" s="355"/>
      <c r="I71" s="355"/>
      <c r="J71" s="355"/>
      <c r="K71" s="356"/>
      <c r="L71" s="55">
        <v>7353000</v>
      </c>
    </row>
    <row r="72" spans="1:13" x14ac:dyDescent="0.25">
      <c r="A72" s="352">
        <v>45992</v>
      </c>
      <c r="B72" s="353"/>
      <c r="C72" s="322">
        <v>10056</v>
      </c>
      <c r="D72" s="324"/>
      <c r="E72" s="354" t="s">
        <v>315</v>
      </c>
      <c r="F72" s="355"/>
      <c r="G72" s="355"/>
      <c r="H72" s="355"/>
      <c r="I72" s="355"/>
      <c r="J72" s="355"/>
      <c r="K72" s="356"/>
      <c r="L72" s="55">
        <v>40300</v>
      </c>
      <c r="M72" s="33"/>
    </row>
    <row r="73" spans="1:13" x14ac:dyDescent="0.25">
      <c r="A73" s="352">
        <v>45992</v>
      </c>
      <c r="B73" s="353"/>
      <c r="C73" s="322">
        <v>2839</v>
      </c>
      <c r="D73" s="324"/>
      <c r="E73" s="354" t="s">
        <v>327</v>
      </c>
      <c r="F73" s="355"/>
      <c r="G73" s="355"/>
      <c r="H73" s="355"/>
      <c r="I73" s="355"/>
      <c r="J73" s="355"/>
      <c r="K73" s="356"/>
      <c r="L73" s="55">
        <v>7335000</v>
      </c>
    </row>
    <row r="74" spans="1:13" x14ac:dyDescent="0.25">
      <c r="A74" s="352">
        <v>45992</v>
      </c>
      <c r="B74" s="353"/>
      <c r="C74" s="322">
        <v>1047</v>
      </c>
      <c r="D74" s="324"/>
      <c r="E74" s="354" t="s">
        <v>345</v>
      </c>
      <c r="F74" s="355"/>
      <c r="G74" s="355"/>
      <c r="H74" s="355"/>
      <c r="I74" s="355"/>
      <c r="J74" s="355"/>
      <c r="K74" s="356"/>
      <c r="L74" s="55">
        <v>7250000</v>
      </c>
    </row>
    <row r="75" spans="1:13" x14ac:dyDescent="0.25">
      <c r="A75" s="352">
        <v>45994</v>
      </c>
      <c r="B75" s="353"/>
      <c r="C75" s="322">
        <v>2847</v>
      </c>
      <c r="D75" s="324"/>
      <c r="E75" s="354" t="s">
        <v>329</v>
      </c>
      <c r="F75" s="355"/>
      <c r="G75" s="355"/>
      <c r="H75" s="355"/>
      <c r="I75" s="355"/>
      <c r="J75" s="355"/>
      <c r="K75" s="356"/>
      <c r="L75" s="55">
        <v>5531000</v>
      </c>
    </row>
    <row r="76" spans="1:13" x14ac:dyDescent="0.25">
      <c r="A76" s="352">
        <v>45994</v>
      </c>
      <c r="B76" s="353"/>
      <c r="C76" s="322">
        <v>1054</v>
      </c>
      <c r="D76" s="324"/>
      <c r="E76" s="354" t="s">
        <v>347</v>
      </c>
      <c r="F76" s="355"/>
      <c r="G76" s="355"/>
      <c r="H76" s="355"/>
      <c r="I76" s="355"/>
      <c r="J76" s="355"/>
      <c r="K76" s="356"/>
      <c r="L76" s="55">
        <v>7250000</v>
      </c>
    </row>
    <row r="77" spans="1:13" x14ac:dyDescent="0.25">
      <c r="A77" s="352">
        <v>45995</v>
      </c>
      <c r="B77" s="353"/>
      <c r="C77" s="322">
        <v>2849</v>
      </c>
      <c r="D77" s="324"/>
      <c r="E77" s="354" t="s">
        <v>333</v>
      </c>
      <c r="F77" s="355"/>
      <c r="G77" s="355"/>
      <c r="H77" s="355"/>
      <c r="I77" s="355"/>
      <c r="J77" s="355"/>
      <c r="K77" s="356"/>
      <c r="L77" s="55">
        <v>3530000</v>
      </c>
    </row>
    <row r="78" spans="1:13" x14ac:dyDescent="0.25">
      <c r="A78" s="352">
        <v>45995</v>
      </c>
      <c r="B78" s="353"/>
      <c r="C78" s="322">
        <v>2850</v>
      </c>
      <c r="D78" s="324"/>
      <c r="E78" s="354" t="s">
        <v>331</v>
      </c>
      <c r="F78" s="355"/>
      <c r="G78" s="355"/>
      <c r="H78" s="355"/>
      <c r="I78" s="355"/>
      <c r="J78" s="355"/>
      <c r="K78" s="356"/>
      <c r="L78" s="55">
        <v>8113000</v>
      </c>
    </row>
    <row r="79" spans="1:13" x14ac:dyDescent="0.25">
      <c r="A79" s="352">
        <v>45997</v>
      </c>
      <c r="B79" s="353"/>
      <c r="C79" s="322">
        <v>2858</v>
      </c>
      <c r="D79" s="324"/>
      <c r="E79" s="354" t="s">
        <v>335</v>
      </c>
      <c r="F79" s="355"/>
      <c r="G79" s="355"/>
      <c r="H79" s="355"/>
      <c r="I79" s="355"/>
      <c r="J79" s="355"/>
      <c r="K79" s="356"/>
      <c r="L79" s="55">
        <v>7531000</v>
      </c>
    </row>
    <row r="80" spans="1:13" x14ac:dyDescent="0.25">
      <c r="A80" s="352">
        <v>45999</v>
      </c>
      <c r="B80" s="353"/>
      <c r="C80" s="322">
        <v>2860</v>
      </c>
      <c r="D80" s="324"/>
      <c r="E80" s="354" t="s">
        <v>337</v>
      </c>
      <c r="F80" s="355"/>
      <c r="G80" s="355"/>
      <c r="H80" s="355"/>
      <c r="I80" s="355"/>
      <c r="J80" s="355"/>
      <c r="K80" s="356"/>
      <c r="L80" s="55">
        <v>11775000</v>
      </c>
    </row>
    <row r="81" spans="1:12" x14ac:dyDescent="0.25">
      <c r="A81" s="352">
        <v>46000</v>
      </c>
      <c r="B81" s="353"/>
      <c r="C81" s="322">
        <v>2861</v>
      </c>
      <c r="D81" s="324"/>
      <c r="E81" s="354" t="s">
        <v>339</v>
      </c>
      <c r="F81" s="355"/>
      <c r="G81" s="355"/>
      <c r="H81" s="355"/>
      <c r="I81" s="355"/>
      <c r="J81" s="355"/>
      <c r="K81" s="356"/>
      <c r="L81" s="55">
        <v>4065000</v>
      </c>
    </row>
    <row r="82" spans="1:12" x14ac:dyDescent="0.25">
      <c r="A82" s="352">
        <v>46000</v>
      </c>
      <c r="B82" s="353"/>
      <c r="C82" s="322">
        <v>1059</v>
      </c>
      <c r="D82" s="324"/>
      <c r="E82" s="354" t="s">
        <v>349</v>
      </c>
      <c r="F82" s="355"/>
      <c r="G82" s="355"/>
      <c r="H82" s="355"/>
      <c r="I82" s="355"/>
      <c r="J82" s="355"/>
      <c r="K82" s="356"/>
      <c r="L82" s="55">
        <v>7000000</v>
      </c>
    </row>
    <row r="83" spans="1:12" x14ac:dyDescent="0.25">
      <c r="A83" s="352">
        <v>46001</v>
      </c>
      <c r="B83" s="353"/>
      <c r="C83" s="322">
        <v>1145</v>
      </c>
      <c r="D83" s="324"/>
      <c r="E83" s="354" t="s">
        <v>351</v>
      </c>
      <c r="F83" s="355"/>
      <c r="G83" s="355"/>
      <c r="H83" s="355"/>
      <c r="I83" s="355"/>
      <c r="J83" s="355"/>
      <c r="K83" s="356"/>
      <c r="L83" s="55">
        <v>4000</v>
      </c>
    </row>
    <row r="84" spans="1:12" x14ac:dyDescent="0.25">
      <c r="A84" s="352">
        <v>46001</v>
      </c>
      <c r="B84" s="353"/>
      <c r="C84" s="322">
        <v>2864</v>
      </c>
      <c r="D84" s="324"/>
      <c r="E84" s="354" t="s">
        <v>343</v>
      </c>
      <c r="F84" s="355"/>
      <c r="G84" s="355"/>
      <c r="H84" s="355"/>
      <c r="I84" s="355"/>
      <c r="J84" s="355"/>
      <c r="K84" s="356"/>
      <c r="L84" s="55">
        <v>7335000</v>
      </c>
    </row>
    <row r="85" spans="1:12" x14ac:dyDescent="0.25">
      <c r="A85" s="334" t="s">
        <v>51</v>
      </c>
      <c r="B85" s="335"/>
      <c r="C85" s="335"/>
      <c r="D85" s="335"/>
      <c r="E85" s="335"/>
      <c r="F85" s="335"/>
      <c r="G85" s="335"/>
      <c r="H85" s="335"/>
      <c r="I85" s="335"/>
      <c r="J85" s="335"/>
      <c r="K85" s="336"/>
      <c r="L85" s="63">
        <f>SUM(L65:L84)</f>
        <v>118908300</v>
      </c>
    </row>
    <row r="86" spans="1:12" x14ac:dyDescent="0.25">
      <c r="A86" s="65"/>
      <c r="B86" s="66"/>
      <c r="C86" s="66"/>
      <c r="D86" s="66"/>
      <c r="E86" s="66"/>
      <c r="F86" s="66"/>
      <c r="G86" s="66"/>
      <c r="H86" s="31"/>
      <c r="I86" s="31"/>
      <c r="J86" s="31"/>
      <c r="K86" s="31"/>
      <c r="L86" s="31"/>
    </row>
    <row r="87" spans="1:12" x14ac:dyDescent="0.25">
      <c r="A87" s="48" t="s">
        <v>52</v>
      </c>
      <c r="B87" s="30"/>
      <c r="C87" s="30"/>
      <c r="D87" s="30"/>
      <c r="E87" s="30"/>
      <c r="F87" s="30"/>
      <c r="G87" s="30"/>
      <c r="H87" s="31"/>
      <c r="I87" s="31"/>
      <c r="J87" s="31"/>
      <c r="K87" s="31"/>
      <c r="L87" s="31"/>
    </row>
    <row r="88" spans="1:12" x14ac:dyDescent="0.25">
      <c r="A88" s="44"/>
      <c r="B88" s="45"/>
      <c r="C88" s="45"/>
      <c r="D88" s="45"/>
      <c r="E88" s="45"/>
      <c r="F88" s="45"/>
      <c r="G88" s="45"/>
      <c r="H88" s="31"/>
      <c r="I88" s="31"/>
      <c r="J88" s="46"/>
      <c r="K88" s="46"/>
      <c r="L88" s="31"/>
    </row>
    <row r="89" spans="1:12" x14ac:dyDescent="0.25">
      <c r="A89" s="337" t="s">
        <v>53</v>
      </c>
      <c r="B89" s="338"/>
      <c r="C89" s="337" t="s">
        <v>54</v>
      </c>
      <c r="D89" s="338"/>
      <c r="E89" s="177" t="s">
        <v>55</v>
      </c>
      <c r="F89" s="68" t="s">
        <v>37</v>
      </c>
      <c r="G89" s="339"/>
      <c r="H89" s="340"/>
      <c r="I89" s="340"/>
      <c r="J89" s="340"/>
      <c r="K89" s="341"/>
      <c r="L89" s="348" t="s">
        <v>56</v>
      </c>
    </row>
    <row r="90" spans="1:12" x14ac:dyDescent="0.25">
      <c r="A90" s="316"/>
      <c r="B90" s="317"/>
      <c r="C90" s="350" t="s">
        <v>57</v>
      </c>
      <c r="D90" s="351"/>
      <c r="E90" s="69"/>
      <c r="F90" s="44"/>
      <c r="G90" s="342"/>
      <c r="H90" s="343"/>
      <c r="I90" s="343"/>
      <c r="J90" s="343"/>
      <c r="K90" s="344"/>
      <c r="L90" s="349"/>
    </row>
    <row r="91" spans="1:12" x14ac:dyDescent="0.25">
      <c r="A91" s="310"/>
      <c r="B91" s="312"/>
      <c r="C91" s="310"/>
      <c r="D91" s="312"/>
      <c r="E91" s="70"/>
      <c r="F91" s="180"/>
      <c r="G91" s="342"/>
      <c r="H91" s="343"/>
      <c r="I91" s="343"/>
      <c r="J91" s="343"/>
      <c r="K91" s="344"/>
      <c r="L91" s="55"/>
    </row>
    <row r="92" spans="1:12" x14ac:dyDescent="0.25">
      <c r="A92" s="310"/>
      <c r="B92" s="312"/>
      <c r="C92" s="310"/>
      <c r="D92" s="312"/>
      <c r="E92" s="70"/>
      <c r="F92" s="64"/>
      <c r="G92" s="345"/>
      <c r="H92" s="346"/>
      <c r="I92" s="346"/>
      <c r="J92" s="346"/>
      <c r="K92" s="347"/>
      <c r="L92" s="72"/>
    </row>
    <row r="93" spans="1:12" x14ac:dyDescent="0.25">
      <c r="A93" s="322" t="s">
        <v>41</v>
      </c>
      <c r="B93" s="323"/>
      <c r="C93" s="323"/>
      <c r="D93" s="323"/>
      <c r="E93" s="323"/>
      <c r="F93" s="323"/>
      <c r="G93" s="323"/>
      <c r="H93" s="323"/>
      <c r="I93" s="323"/>
      <c r="J93" s="323"/>
      <c r="K93" s="324"/>
      <c r="L93" s="73">
        <f>SUM(L91:L92)</f>
        <v>0</v>
      </c>
    </row>
    <row r="94" spans="1:12" x14ac:dyDescent="0.25">
      <c r="A94" s="325"/>
      <c r="B94" s="326"/>
      <c r="C94" s="326"/>
      <c r="D94" s="326"/>
      <c r="E94" s="326"/>
      <c r="F94" s="326"/>
      <c r="G94" s="326"/>
      <c r="H94" s="326"/>
      <c r="I94" s="326"/>
      <c r="J94" s="326"/>
      <c r="K94" s="326"/>
      <c r="L94" s="326"/>
    </row>
    <row r="95" spans="1:12" x14ac:dyDescent="0.25">
      <c r="A95" s="327" t="s">
        <v>58</v>
      </c>
      <c r="B95" s="328"/>
      <c r="C95" s="328"/>
      <c r="D95" s="328"/>
      <c r="E95" s="328"/>
      <c r="F95" s="328"/>
      <c r="G95" s="328"/>
      <c r="H95" s="328"/>
      <c r="I95" s="328"/>
      <c r="J95" s="329"/>
      <c r="K95" s="330">
        <f>K9+L58-L85-L93</f>
        <v>0</v>
      </c>
      <c r="L95" s="330"/>
    </row>
    <row r="96" spans="1:12" x14ac:dyDescent="0.25">
      <c r="A96" s="331"/>
      <c r="B96" s="332"/>
      <c r="C96" s="332"/>
      <c r="D96" s="332"/>
      <c r="E96" s="332"/>
      <c r="F96" s="332"/>
      <c r="G96" s="332"/>
      <c r="H96" s="332"/>
      <c r="I96" s="332"/>
      <c r="J96" s="332"/>
      <c r="K96" s="332"/>
      <c r="L96" s="333"/>
    </row>
    <row r="97" spans="1:13" x14ac:dyDescent="0.25">
      <c r="A97" s="305" t="s">
        <v>59</v>
      </c>
      <c r="B97" s="305"/>
      <c r="C97" s="305"/>
      <c r="D97" s="305"/>
      <c r="E97" s="305"/>
      <c r="F97" s="305" t="s">
        <v>60</v>
      </c>
      <c r="G97" s="305"/>
      <c r="H97" s="305"/>
      <c r="I97" s="306"/>
      <c r="J97" s="309" t="s">
        <v>61</v>
      </c>
      <c r="K97" s="309"/>
      <c r="L97" s="309"/>
    </row>
    <row r="98" spans="1:13" x14ac:dyDescent="0.25">
      <c r="A98" s="310"/>
      <c r="B98" s="311"/>
      <c r="C98" s="311"/>
      <c r="D98" s="311"/>
      <c r="E98" s="312"/>
      <c r="F98" s="310"/>
      <c r="G98" s="311"/>
      <c r="H98" s="312"/>
      <c r="I98" s="307"/>
      <c r="J98" s="313"/>
      <c r="K98" s="314"/>
      <c r="L98" s="315"/>
      <c r="M98" s="74"/>
    </row>
    <row r="99" spans="1:13" x14ac:dyDescent="0.25">
      <c r="A99" s="316"/>
      <c r="B99" s="317"/>
      <c r="C99" s="317"/>
      <c r="D99" s="317"/>
      <c r="E99" s="318"/>
      <c r="F99" s="316"/>
      <c r="G99" s="317"/>
      <c r="H99" s="318"/>
      <c r="I99" s="308"/>
      <c r="J99" s="319"/>
      <c r="K99" s="320"/>
      <c r="L99" s="321"/>
    </row>
    <row r="100" spans="1:13" x14ac:dyDescent="0.25">
      <c r="A100" s="33"/>
      <c r="B100" s="33"/>
      <c r="C100" s="33"/>
      <c r="D100" s="33"/>
      <c r="E100" s="33"/>
      <c r="F100" s="33"/>
      <c r="G100" s="33"/>
      <c r="H100" s="75"/>
      <c r="I100" s="75"/>
      <c r="J100" s="75"/>
      <c r="K100" s="75"/>
      <c r="L100" s="75"/>
    </row>
  </sheetData>
  <mergeCells count="233">
    <mergeCell ref="A80:B80"/>
    <mergeCell ref="C80:D80"/>
    <mergeCell ref="E80:K80"/>
    <mergeCell ref="A13:B14"/>
    <mergeCell ref="C13:D14"/>
    <mergeCell ref="E13:F14"/>
    <mergeCell ref="G13:G14"/>
    <mergeCell ref="H13:H14"/>
    <mergeCell ref="I13:I14"/>
    <mergeCell ref="A18:B18"/>
    <mergeCell ref="C18:D18"/>
    <mergeCell ref="E18:F18"/>
    <mergeCell ref="A21:B21"/>
    <mergeCell ref="C21:D21"/>
    <mergeCell ref="E21:F21"/>
    <mergeCell ref="A22:B22"/>
    <mergeCell ref="C22:D22"/>
    <mergeCell ref="E22:F22"/>
    <mergeCell ref="A19:B19"/>
    <mergeCell ref="C19:D19"/>
    <mergeCell ref="E19:F19"/>
    <mergeCell ref="A20:B20"/>
    <mergeCell ref="C20:D20"/>
    <mergeCell ref="E20:F20"/>
    <mergeCell ref="A1:L1"/>
    <mergeCell ref="A4:C4"/>
    <mergeCell ref="E4:F5"/>
    <mergeCell ref="A5:C5"/>
    <mergeCell ref="A9:J9"/>
    <mergeCell ref="K9:L9"/>
    <mergeCell ref="A17:B17"/>
    <mergeCell ref="C17:D17"/>
    <mergeCell ref="E17:F17"/>
    <mergeCell ref="A15:B15"/>
    <mergeCell ref="C15:D15"/>
    <mergeCell ref="E15:F15"/>
    <mergeCell ref="A16:B16"/>
    <mergeCell ref="C16:D16"/>
    <mergeCell ref="E16:F16"/>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L62:L64"/>
    <mergeCell ref="A39:B39"/>
    <mergeCell ref="C39:D39"/>
    <mergeCell ref="E39:F39"/>
    <mergeCell ref="A40:B40"/>
    <mergeCell ref="C40:D40"/>
    <mergeCell ref="E40:F40"/>
    <mergeCell ref="E57:F57"/>
    <mergeCell ref="E41:F41"/>
    <mergeCell ref="E42:F42"/>
    <mergeCell ref="E43:F43"/>
    <mergeCell ref="E44:F44"/>
    <mergeCell ref="E45:F45"/>
    <mergeCell ref="E46:F46"/>
    <mergeCell ref="A46:B46"/>
    <mergeCell ref="A57:B57"/>
    <mergeCell ref="C41:D41"/>
    <mergeCell ref="C42:D42"/>
    <mergeCell ref="C43:D43"/>
    <mergeCell ref="C44:D44"/>
    <mergeCell ref="C45:D45"/>
    <mergeCell ref="C46:D46"/>
    <mergeCell ref="C57:D57"/>
    <mergeCell ref="A58:B58"/>
    <mergeCell ref="A72:B72"/>
    <mergeCell ref="C72:D72"/>
    <mergeCell ref="E72:K72"/>
    <mergeCell ref="A73:B73"/>
    <mergeCell ref="C73:D73"/>
    <mergeCell ref="E73:K73"/>
    <mergeCell ref="A66:B66"/>
    <mergeCell ref="C66:D66"/>
    <mergeCell ref="E66:K66"/>
    <mergeCell ref="A70:B70"/>
    <mergeCell ref="C70:D70"/>
    <mergeCell ref="E70:K70"/>
    <mergeCell ref="A67:B67"/>
    <mergeCell ref="C67:D67"/>
    <mergeCell ref="E67:K67"/>
    <mergeCell ref="A68:B68"/>
    <mergeCell ref="C68:D68"/>
    <mergeCell ref="E68:K68"/>
    <mergeCell ref="A69:B69"/>
    <mergeCell ref="C69:D69"/>
    <mergeCell ref="E69:K69"/>
    <mergeCell ref="A71:B71"/>
    <mergeCell ref="C71:D71"/>
    <mergeCell ref="E71:K71"/>
    <mergeCell ref="A78:B78"/>
    <mergeCell ref="C78:D78"/>
    <mergeCell ref="E78:K78"/>
    <mergeCell ref="A79:B79"/>
    <mergeCell ref="C79:D79"/>
    <mergeCell ref="E79:K79"/>
    <mergeCell ref="A75:B75"/>
    <mergeCell ref="C75:D75"/>
    <mergeCell ref="E75:K75"/>
    <mergeCell ref="A77:B77"/>
    <mergeCell ref="C77:D77"/>
    <mergeCell ref="E77:K77"/>
    <mergeCell ref="A91:B91"/>
    <mergeCell ref="C91:D91"/>
    <mergeCell ref="A92:B92"/>
    <mergeCell ref="C92:D92"/>
    <mergeCell ref="A84:B84"/>
    <mergeCell ref="C84:D84"/>
    <mergeCell ref="E84:K84"/>
    <mergeCell ref="A85:K85"/>
    <mergeCell ref="A89:B89"/>
    <mergeCell ref="C89:D89"/>
    <mergeCell ref="G89:K92"/>
    <mergeCell ref="E81:K81"/>
    <mergeCell ref="F98:H98"/>
    <mergeCell ref="J98:L98"/>
    <mergeCell ref="A99:E99"/>
    <mergeCell ref="F99:H99"/>
    <mergeCell ref="J99:L99"/>
    <mergeCell ref="A41:B41"/>
    <mergeCell ref="A42:B42"/>
    <mergeCell ref="A43:B43"/>
    <mergeCell ref="A44:B44"/>
    <mergeCell ref="A45:B45"/>
    <mergeCell ref="A93:K93"/>
    <mergeCell ref="A94:L94"/>
    <mergeCell ref="A95:J95"/>
    <mergeCell ref="K95:L95"/>
    <mergeCell ref="A96:L96"/>
    <mergeCell ref="A97:E97"/>
    <mergeCell ref="F97:H97"/>
    <mergeCell ref="I97:I99"/>
    <mergeCell ref="J97:L97"/>
    <mergeCell ref="A98:E98"/>
    <mergeCell ref="L89:L90"/>
    <mergeCell ref="A90:B90"/>
    <mergeCell ref="C90:D90"/>
    <mergeCell ref="A47:B47"/>
    <mergeCell ref="C47:D47"/>
    <mergeCell ref="E47:F47"/>
    <mergeCell ref="A48:B48"/>
    <mergeCell ref="C48:D48"/>
    <mergeCell ref="E48:F48"/>
    <mergeCell ref="A49:B49"/>
    <mergeCell ref="C49:D49"/>
    <mergeCell ref="E49:F49"/>
    <mergeCell ref="A50:B50"/>
    <mergeCell ref="C50:D50"/>
    <mergeCell ref="E50:F50"/>
    <mergeCell ref="A51:B51"/>
    <mergeCell ref="C51:D51"/>
    <mergeCell ref="E51:F51"/>
    <mergeCell ref="A52:B52"/>
    <mergeCell ref="C52:D52"/>
    <mergeCell ref="E52:F52"/>
    <mergeCell ref="A53:B53"/>
    <mergeCell ref="C53:D53"/>
    <mergeCell ref="E53:F53"/>
    <mergeCell ref="A54:B54"/>
    <mergeCell ref="C54:D54"/>
    <mergeCell ref="E54:F54"/>
    <mergeCell ref="A55:B55"/>
    <mergeCell ref="C55:D55"/>
    <mergeCell ref="E55:F55"/>
    <mergeCell ref="A82:B82"/>
    <mergeCell ref="C82:D82"/>
    <mergeCell ref="E82:K82"/>
    <mergeCell ref="A83:B83"/>
    <mergeCell ref="C83:D83"/>
    <mergeCell ref="E83:K83"/>
    <mergeCell ref="A56:B56"/>
    <mergeCell ref="C56:D56"/>
    <mergeCell ref="E56:F56"/>
    <mergeCell ref="A74:B74"/>
    <mergeCell ref="C74:D74"/>
    <mergeCell ref="E74:K74"/>
    <mergeCell ref="A76:B76"/>
    <mergeCell ref="C76:D76"/>
    <mergeCell ref="E76:K76"/>
    <mergeCell ref="I58:K58"/>
    <mergeCell ref="A62:B64"/>
    <mergeCell ref="C62:D64"/>
    <mergeCell ref="E62:K64"/>
    <mergeCell ref="A65:B65"/>
    <mergeCell ref="E65:K65"/>
    <mergeCell ref="C65:D65"/>
    <mergeCell ref="A81:B81"/>
    <mergeCell ref="C81:D8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topLeftCell="A36" workbookViewId="0">
      <selection activeCell="A38" sqref="A38:G38"/>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84" t="s">
        <v>27</v>
      </c>
      <c r="B6" s="189" t="s">
        <v>28</v>
      </c>
      <c r="C6" s="189" t="s">
        <v>29</v>
      </c>
      <c r="D6" s="30"/>
      <c r="E6" s="30"/>
      <c r="F6" s="30"/>
      <c r="G6" s="30"/>
      <c r="H6" s="31"/>
      <c r="I6" s="31"/>
      <c r="J6" s="31"/>
      <c r="K6" s="31"/>
      <c r="L6" s="32"/>
    </row>
    <row r="7" spans="1:12" x14ac:dyDescent="0.25">
      <c r="A7" s="41" t="s">
        <v>179</v>
      </c>
      <c r="B7" s="42" t="s">
        <v>355</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87" t="s">
        <v>40</v>
      </c>
      <c r="K13" s="187" t="s">
        <v>40</v>
      </c>
      <c r="L13" s="187" t="s">
        <v>41</v>
      </c>
    </row>
    <row r="14" spans="1:12" x14ac:dyDescent="0.25">
      <c r="A14" s="396"/>
      <c r="B14" s="397"/>
      <c r="C14" s="396"/>
      <c r="D14" s="397"/>
      <c r="E14" s="361"/>
      <c r="F14" s="362"/>
      <c r="G14" s="399"/>
      <c r="H14" s="399"/>
      <c r="I14" s="399"/>
      <c r="J14" s="188" t="s">
        <v>42</v>
      </c>
      <c r="K14" s="188" t="s">
        <v>43</v>
      </c>
      <c r="L14" s="188" t="s">
        <v>44</v>
      </c>
    </row>
    <row r="15" spans="1:12" x14ac:dyDescent="0.25">
      <c r="A15" s="385">
        <v>1</v>
      </c>
      <c r="B15" s="384"/>
      <c r="C15" s="386" t="s">
        <v>140</v>
      </c>
      <c r="D15" s="386"/>
      <c r="E15" s="383" t="s">
        <v>137</v>
      </c>
      <c r="F15" s="383"/>
      <c r="G15" s="59" t="s">
        <v>26</v>
      </c>
      <c r="H15" s="55">
        <v>867300</v>
      </c>
      <c r="I15" s="56"/>
      <c r="J15" s="57"/>
      <c r="K15" s="57"/>
      <c r="L15" s="58">
        <f t="shared" ref="L15:L38" si="0">H15</f>
        <v>867300</v>
      </c>
    </row>
    <row r="16" spans="1:12" x14ac:dyDescent="0.25">
      <c r="A16" s="385">
        <v>1</v>
      </c>
      <c r="B16" s="384"/>
      <c r="C16" s="386" t="s">
        <v>142</v>
      </c>
      <c r="D16" s="386"/>
      <c r="E16" s="383" t="s">
        <v>275</v>
      </c>
      <c r="F16" s="383"/>
      <c r="G16" s="59" t="s">
        <v>26</v>
      </c>
      <c r="H16" s="55">
        <v>888800</v>
      </c>
      <c r="I16" s="56"/>
      <c r="J16" s="57"/>
      <c r="K16" s="57"/>
      <c r="L16" s="58">
        <f t="shared" si="0"/>
        <v>888800</v>
      </c>
    </row>
    <row r="17" spans="1:12" x14ac:dyDescent="0.25">
      <c r="A17" s="387" t="s">
        <v>80</v>
      </c>
      <c r="B17" s="386"/>
      <c r="C17" s="386" t="s">
        <v>139</v>
      </c>
      <c r="D17" s="386"/>
      <c r="E17" s="388" t="s">
        <v>356</v>
      </c>
      <c r="F17" s="389"/>
      <c r="G17" s="186" t="s">
        <v>26</v>
      </c>
      <c r="H17" s="60">
        <v>2759800</v>
      </c>
      <c r="I17" s="56"/>
      <c r="J17" s="57"/>
      <c r="K17" s="57"/>
      <c r="L17" s="58">
        <f t="shared" si="0"/>
        <v>2759800</v>
      </c>
    </row>
    <row r="18" spans="1:12" x14ac:dyDescent="0.25">
      <c r="A18" s="387" t="s">
        <v>77</v>
      </c>
      <c r="B18" s="386"/>
      <c r="C18" s="384">
        <v>1</v>
      </c>
      <c r="D18" s="384"/>
      <c r="E18" s="388" t="s">
        <v>357</v>
      </c>
      <c r="F18" s="389"/>
      <c r="G18" s="186" t="s">
        <v>26</v>
      </c>
      <c r="H18" s="55">
        <v>619100</v>
      </c>
      <c r="I18" s="56"/>
      <c r="J18" s="57"/>
      <c r="K18" s="57"/>
      <c r="L18" s="58">
        <f t="shared" si="0"/>
        <v>619100</v>
      </c>
    </row>
    <row r="19" spans="1:12" x14ac:dyDescent="0.25">
      <c r="A19" s="387" t="s">
        <v>77</v>
      </c>
      <c r="B19" s="386"/>
      <c r="C19" s="384">
        <v>6</v>
      </c>
      <c r="D19" s="384"/>
      <c r="E19" s="388" t="s">
        <v>180</v>
      </c>
      <c r="F19" s="389"/>
      <c r="G19" s="186" t="s">
        <v>26</v>
      </c>
      <c r="H19" s="55">
        <v>600000</v>
      </c>
      <c r="I19" s="56"/>
      <c r="J19" s="57"/>
      <c r="K19" s="57"/>
      <c r="L19" s="58">
        <f t="shared" si="0"/>
        <v>600000</v>
      </c>
    </row>
    <row r="20" spans="1:12" x14ac:dyDescent="0.25">
      <c r="A20" s="387" t="s">
        <v>77</v>
      </c>
      <c r="B20" s="386"/>
      <c r="C20" s="322">
        <v>6</v>
      </c>
      <c r="D20" s="324"/>
      <c r="E20" s="392" t="s">
        <v>193</v>
      </c>
      <c r="F20" s="393"/>
      <c r="G20" s="186" t="s">
        <v>26</v>
      </c>
      <c r="H20" s="55">
        <v>904200</v>
      </c>
      <c r="I20" s="56"/>
      <c r="J20" s="57"/>
      <c r="K20" s="57"/>
      <c r="L20" s="58">
        <f t="shared" si="0"/>
        <v>904200</v>
      </c>
    </row>
    <row r="21" spans="1:12" x14ac:dyDescent="0.25">
      <c r="A21" s="385">
        <v>1</v>
      </c>
      <c r="B21" s="384"/>
      <c r="C21" s="386" t="s">
        <v>342</v>
      </c>
      <c r="D21" s="386"/>
      <c r="E21" s="383" t="s">
        <v>106</v>
      </c>
      <c r="F21" s="383"/>
      <c r="G21" s="59" t="s">
        <v>26</v>
      </c>
      <c r="H21" s="55">
        <v>418100</v>
      </c>
      <c r="I21" s="56"/>
      <c r="J21" s="57"/>
      <c r="K21" s="57"/>
      <c r="L21" s="58">
        <f t="shared" si="0"/>
        <v>418100</v>
      </c>
    </row>
    <row r="22" spans="1:12" x14ac:dyDescent="0.25">
      <c r="A22" s="375">
        <v>1</v>
      </c>
      <c r="B22" s="376"/>
      <c r="C22" s="322">
        <v>5</v>
      </c>
      <c r="D22" s="324"/>
      <c r="E22" s="383" t="s">
        <v>185</v>
      </c>
      <c r="F22" s="383"/>
      <c r="G22" s="59" t="s">
        <v>26</v>
      </c>
      <c r="H22" s="55">
        <v>335384</v>
      </c>
      <c r="I22" s="56"/>
      <c r="J22" s="57"/>
      <c r="K22" s="57"/>
      <c r="L22" s="58">
        <f t="shared" si="0"/>
        <v>335384</v>
      </c>
    </row>
    <row r="23" spans="1:12" x14ac:dyDescent="0.25">
      <c r="A23" s="375">
        <v>1</v>
      </c>
      <c r="B23" s="376"/>
      <c r="C23" s="384">
        <v>6</v>
      </c>
      <c r="D23" s="384"/>
      <c r="E23" s="383" t="s">
        <v>185</v>
      </c>
      <c r="F23" s="383"/>
      <c r="G23" s="59" t="s">
        <v>26</v>
      </c>
      <c r="H23" s="55">
        <v>325300</v>
      </c>
      <c r="I23" s="56"/>
      <c r="J23" s="57"/>
      <c r="K23" s="57"/>
      <c r="L23" s="58">
        <f t="shared" si="0"/>
        <v>325300</v>
      </c>
    </row>
    <row r="24" spans="1:12" x14ac:dyDescent="0.25">
      <c r="A24" s="375">
        <v>1</v>
      </c>
      <c r="B24" s="376"/>
      <c r="C24" s="322">
        <v>2</v>
      </c>
      <c r="D24" s="324"/>
      <c r="E24" s="392" t="s">
        <v>305</v>
      </c>
      <c r="F24" s="393"/>
      <c r="G24" s="59" t="s">
        <v>26</v>
      </c>
      <c r="H24" s="55">
        <v>1526600</v>
      </c>
      <c r="I24" s="56"/>
      <c r="J24" s="57"/>
      <c r="K24" s="57"/>
      <c r="L24" s="58">
        <f t="shared" si="0"/>
        <v>1526600</v>
      </c>
    </row>
    <row r="25" spans="1:12" x14ac:dyDescent="0.25">
      <c r="A25" s="375">
        <v>1</v>
      </c>
      <c r="B25" s="376"/>
      <c r="C25" s="379" t="s">
        <v>188</v>
      </c>
      <c r="D25" s="380"/>
      <c r="E25" s="381" t="s">
        <v>251</v>
      </c>
      <c r="F25" s="382"/>
      <c r="G25" s="59" t="s">
        <v>26</v>
      </c>
      <c r="H25" s="55">
        <v>789900</v>
      </c>
      <c r="I25" s="56"/>
      <c r="J25" s="57"/>
      <c r="K25" s="57"/>
      <c r="L25" s="58">
        <f t="shared" si="0"/>
        <v>789900</v>
      </c>
    </row>
    <row r="26" spans="1:12" x14ac:dyDescent="0.25">
      <c r="A26" s="375">
        <v>1</v>
      </c>
      <c r="B26" s="376"/>
      <c r="C26" s="379" t="s">
        <v>217</v>
      </c>
      <c r="D26" s="380"/>
      <c r="E26" s="381" t="s">
        <v>134</v>
      </c>
      <c r="F26" s="382"/>
      <c r="G26" s="59" t="s">
        <v>26</v>
      </c>
      <c r="H26" s="55">
        <v>317700</v>
      </c>
      <c r="I26" s="56"/>
      <c r="J26" s="57"/>
      <c r="K26" s="57"/>
      <c r="L26" s="58">
        <f t="shared" si="0"/>
        <v>317700</v>
      </c>
    </row>
    <row r="27" spans="1:12" x14ac:dyDescent="0.25">
      <c r="A27" s="375">
        <v>1</v>
      </c>
      <c r="B27" s="376"/>
      <c r="C27" s="322">
        <v>4</v>
      </c>
      <c r="D27" s="324"/>
      <c r="E27" s="381" t="s">
        <v>103</v>
      </c>
      <c r="F27" s="382"/>
      <c r="G27" s="186" t="s">
        <v>26</v>
      </c>
      <c r="H27" s="60">
        <v>1389700</v>
      </c>
      <c r="I27" s="56"/>
      <c r="J27" s="57"/>
      <c r="K27" s="57"/>
      <c r="L27" s="58">
        <f t="shared" si="0"/>
        <v>1389700</v>
      </c>
    </row>
    <row r="28" spans="1:12" x14ac:dyDescent="0.25">
      <c r="A28" s="375">
        <v>1</v>
      </c>
      <c r="B28" s="376"/>
      <c r="C28" s="322">
        <v>1</v>
      </c>
      <c r="D28" s="324"/>
      <c r="E28" s="383" t="s">
        <v>358</v>
      </c>
      <c r="F28" s="383"/>
      <c r="G28" s="186" t="s">
        <v>26</v>
      </c>
      <c r="H28" s="60">
        <v>1379900</v>
      </c>
      <c r="I28" s="56"/>
      <c r="J28" s="57"/>
      <c r="K28" s="57"/>
      <c r="L28" s="58">
        <f t="shared" si="0"/>
        <v>1379900</v>
      </c>
    </row>
    <row r="29" spans="1:12" x14ac:dyDescent="0.25">
      <c r="A29" s="375">
        <v>1</v>
      </c>
      <c r="B29" s="376"/>
      <c r="C29" s="379" t="s">
        <v>188</v>
      </c>
      <c r="D29" s="380"/>
      <c r="E29" s="377" t="s">
        <v>276</v>
      </c>
      <c r="F29" s="378"/>
      <c r="G29" s="186" t="s">
        <v>26</v>
      </c>
      <c r="H29" s="60">
        <v>869800</v>
      </c>
      <c r="I29" s="56"/>
      <c r="J29" s="57"/>
      <c r="K29" s="57"/>
      <c r="L29" s="58">
        <f t="shared" si="0"/>
        <v>869800</v>
      </c>
    </row>
    <row r="30" spans="1:12" x14ac:dyDescent="0.25">
      <c r="A30" s="375">
        <v>1</v>
      </c>
      <c r="B30" s="376"/>
      <c r="C30" s="411" t="s">
        <v>206</v>
      </c>
      <c r="D30" s="412"/>
      <c r="E30" s="381" t="s">
        <v>192</v>
      </c>
      <c r="F30" s="382"/>
      <c r="G30" s="186" t="s">
        <v>26</v>
      </c>
      <c r="H30" s="60">
        <v>425600</v>
      </c>
      <c r="I30" s="56"/>
      <c r="J30" s="57"/>
      <c r="K30" s="57"/>
      <c r="L30" s="58">
        <f t="shared" si="0"/>
        <v>425600</v>
      </c>
    </row>
    <row r="31" spans="1:12" x14ac:dyDescent="0.25">
      <c r="A31" s="375">
        <v>1</v>
      </c>
      <c r="B31" s="376"/>
      <c r="C31" s="375">
        <v>4</v>
      </c>
      <c r="D31" s="376"/>
      <c r="E31" s="381" t="s">
        <v>222</v>
      </c>
      <c r="F31" s="382"/>
      <c r="G31" s="186" t="s">
        <v>26</v>
      </c>
      <c r="H31" s="60">
        <v>663300</v>
      </c>
      <c r="I31" s="56"/>
      <c r="J31" s="57"/>
      <c r="K31" s="57"/>
      <c r="L31" s="58">
        <f t="shared" si="0"/>
        <v>663300</v>
      </c>
    </row>
    <row r="32" spans="1:12" x14ac:dyDescent="0.25">
      <c r="A32" s="375">
        <v>1</v>
      </c>
      <c r="B32" s="376"/>
      <c r="C32" s="375">
        <v>7</v>
      </c>
      <c r="D32" s="376"/>
      <c r="E32" s="381" t="s">
        <v>182</v>
      </c>
      <c r="F32" s="382"/>
      <c r="G32" s="186" t="s">
        <v>26</v>
      </c>
      <c r="H32" s="60">
        <v>423535</v>
      </c>
      <c r="I32" s="56"/>
      <c r="J32" s="57"/>
      <c r="K32" s="57"/>
      <c r="L32" s="58">
        <f t="shared" si="0"/>
        <v>423535</v>
      </c>
    </row>
    <row r="33" spans="1:12" x14ac:dyDescent="0.25">
      <c r="A33" s="375">
        <v>1</v>
      </c>
      <c r="B33" s="376"/>
      <c r="C33" s="375">
        <v>4</v>
      </c>
      <c r="D33" s="376"/>
      <c r="E33" s="381" t="s">
        <v>248</v>
      </c>
      <c r="F33" s="382"/>
      <c r="G33" s="186" t="s">
        <v>26</v>
      </c>
      <c r="H33" s="60">
        <v>794651</v>
      </c>
      <c r="I33" s="56"/>
      <c r="J33" s="57"/>
      <c r="K33" s="57"/>
      <c r="L33" s="58">
        <f t="shared" si="0"/>
        <v>794651</v>
      </c>
    </row>
    <row r="34" spans="1:12" x14ac:dyDescent="0.25">
      <c r="A34" s="375">
        <v>1</v>
      </c>
      <c r="B34" s="376"/>
      <c r="C34" s="411" t="s">
        <v>217</v>
      </c>
      <c r="D34" s="412"/>
      <c r="E34" s="381" t="s">
        <v>136</v>
      </c>
      <c r="F34" s="382"/>
      <c r="G34" s="186" t="s">
        <v>26</v>
      </c>
      <c r="H34" s="60">
        <v>656200</v>
      </c>
      <c r="I34" s="56"/>
      <c r="J34" s="57"/>
      <c r="K34" s="57"/>
      <c r="L34" s="58">
        <f t="shared" si="0"/>
        <v>656200</v>
      </c>
    </row>
    <row r="35" spans="1:12" x14ac:dyDescent="0.25">
      <c r="A35" s="375">
        <v>1</v>
      </c>
      <c r="B35" s="376"/>
      <c r="C35" s="375">
        <v>9</v>
      </c>
      <c r="D35" s="376"/>
      <c r="E35" s="381" t="s">
        <v>104</v>
      </c>
      <c r="F35" s="382"/>
      <c r="G35" s="186" t="s">
        <v>26</v>
      </c>
      <c r="H35" s="60">
        <v>433600</v>
      </c>
      <c r="I35" s="56"/>
      <c r="J35" s="57"/>
      <c r="K35" s="57"/>
      <c r="L35" s="58">
        <f t="shared" si="0"/>
        <v>433600</v>
      </c>
    </row>
    <row r="36" spans="1:12" x14ac:dyDescent="0.25">
      <c r="A36" s="375">
        <v>1</v>
      </c>
      <c r="B36" s="376"/>
      <c r="C36" s="411" t="s">
        <v>77</v>
      </c>
      <c r="D36" s="412"/>
      <c r="E36" s="381" t="s">
        <v>359</v>
      </c>
      <c r="F36" s="382"/>
      <c r="G36" s="186" t="s">
        <v>26</v>
      </c>
      <c r="H36" s="60">
        <v>365300</v>
      </c>
      <c r="I36" s="56"/>
      <c r="J36" s="57"/>
      <c r="K36" s="57"/>
      <c r="L36" s="58">
        <f t="shared" si="0"/>
        <v>365300</v>
      </c>
    </row>
    <row r="37" spans="1:12" x14ac:dyDescent="0.25">
      <c r="A37" s="375">
        <v>1</v>
      </c>
      <c r="B37" s="376"/>
      <c r="C37" s="379" t="s">
        <v>206</v>
      </c>
      <c r="D37" s="380"/>
      <c r="E37" s="381" t="s">
        <v>194</v>
      </c>
      <c r="F37" s="382"/>
      <c r="G37" s="186" t="s">
        <v>26</v>
      </c>
      <c r="H37" s="60">
        <v>728700</v>
      </c>
      <c r="I37" s="56"/>
      <c r="J37" s="57"/>
      <c r="K37" s="57"/>
      <c r="L37" s="58">
        <f t="shared" si="0"/>
        <v>728700</v>
      </c>
    </row>
    <row r="38" spans="1:12" x14ac:dyDescent="0.25">
      <c r="A38" s="390">
        <v>46029</v>
      </c>
      <c r="B38" s="391"/>
      <c r="C38" s="322">
        <v>1</v>
      </c>
      <c r="D38" s="324"/>
      <c r="E38" s="392" t="s">
        <v>64</v>
      </c>
      <c r="F38" s="393"/>
      <c r="G38" s="186" t="s">
        <v>26</v>
      </c>
      <c r="H38" s="60">
        <v>20663530</v>
      </c>
      <c r="I38" s="56"/>
      <c r="J38" s="57"/>
      <c r="K38" s="57"/>
      <c r="L38" s="58">
        <f t="shared" si="0"/>
        <v>20663530</v>
      </c>
    </row>
    <row r="39" spans="1:12" x14ac:dyDescent="0.25">
      <c r="A39" s="322"/>
      <c r="B39" s="324"/>
      <c r="C39" s="61" t="s">
        <v>45</v>
      </c>
      <c r="D39" s="62"/>
      <c r="E39" s="62"/>
      <c r="F39" s="62"/>
      <c r="G39" s="62"/>
      <c r="H39" s="63">
        <f>SUM(H15:H38)</f>
        <v>39146000</v>
      </c>
      <c r="I39" s="334"/>
      <c r="J39" s="335"/>
      <c r="K39" s="336"/>
      <c r="L39" s="63">
        <f>SUM(L15:L38)</f>
        <v>39146000</v>
      </c>
    </row>
    <row r="40" spans="1:12" x14ac:dyDescent="0.25">
      <c r="A40" s="64"/>
      <c r="B40" s="38"/>
      <c r="C40" s="29"/>
      <c r="D40" s="30"/>
      <c r="E40" s="30"/>
      <c r="F40" s="30"/>
      <c r="G40" s="30"/>
      <c r="H40" s="31"/>
      <c r="I40" s="31"/>
      <c r="J40" s="31"/>
      <c r="K40" s="31"/>
      <c r="L40" s="32"/>
    </row>
    <row r="41" spans="1:12" x14ac:dyDescent="0.25">
      <c r="A41" s="48" t="s">
        <v>46</v>
      </c>
      <c r="B41" s="38"/>
      <c r="C41" s="29"/>
      <c r="D41" s="30"/>
      <c r="E41" s="30"/>
      <c r="F41" s="30"/>
      <c r="G41" s="30"/>
      <c r="H41" s="31"/>
      <c r="I41" s="31"/>
      <c r="J41" s="31"/>
      <c r="K41" s="31"/>
      <c r="L41" s="32"/>
    </row>
    <row r="42" spans="1:12" x14ac:dyDescent="0.25">
      <c r="A42" s="48"/>
      <c r="B42" s="30"/>
      <c r="C42" s="30"/>
      <c r="D42" s="30"/>
      <c r="E42" s="30"/>
      <c r="F42" s="30"/>
      <c r="G42" s="30"/>
      <c r="H42" s="31"/>
      <c r="I42" s="31"/>
      <c r="J42" s="31"/>
      <c r="K42" s="31"/>
      <c r="L42" s="32"/>
    </row>
    <row r="43" spans="1:12" x14ac:dyDescent="0.25">
      <c r="A43" s="357" t="s">
        <v>47</v>
      </c>
      <c r="B43" s="358"/>
      <c r="C43" s="363" t="s">
        <v>48</v>
      </c>
      <c r="D43" s="364"/>
      <c r="E43" s="357" t="s">
        <v>49</v>
      </c>
      <c r="F43" s="369"/>
      <c r="G43" s="369"/>
      <c r="H43" s="369"/>
      <c r="I43" s="369"/>
      <c r="J43" s="369"/>
      <c r="K43" s="358"/>
      <c r="L43" s="372" t="s">
        <v>50</v>
      </c>
    </row>
    <row r="44" spans="1:12" x14ac:dyDescent="0.25">
      <c r="A44" s="359"/>
      <c r="B44" s="360"/>
      <c r="C44" s="365"/>
      <c r="D44" s="366"/>
      <c r="E44" s="359"/>
      <c r="F44" s="370"/>
      <c r="G44" s="370"/>
      <c r="H44" s="370"/>
      <c r="I44" s="370"/>
      <c r="J44" s="370"/>
      <c r="K44" s="360"/>
      <c r="L44" s="373"/>
    </row>
    <row r="45" spans="1:12" x14ac:dyDescent="0.25">
      <c r="A45" s="361"/>
      <c r="B45" s="362"/>
      <c r="C45" s="367"/>
      <c r="D45" s="368"/>
      <c r="E45" s="361"/>
      <c r="F45" s="371"/>
      <c r="G45" s="371"/>
      <c r="H45" s="371"/>
      <c r="I45" s="371"/>
      <c r="J45" s="371"/>
      <c r="K45" s="362"/>
      <c r="L45" s="374"/>
    </row>
    <row r="46" spans="1:12" x14ac:dyDescent="0.25">
      <c r="A46" s="352">
        <v>46007</v>
      </c>
      <c r="B46" s="353"/>
      <c r="C46" s="322">
        <v>2878</v>
      </c>
      <c r="D46" s="324"/>
      <c r="E46" s="354" t="s">
        <v>360</v>
      </c>
      <c r="F46" s="355"/>
      <c r="G46" s="355"/>
      <c r="H46" s="355"/>
      <c r="I46" s="355"/>
      <c r="J46" s="355"/>
      <c r="K46" s="356"/>
      <c r="L46" s="55">
        <v>9334000</v>
      </c>
    </row>
    <row r="47" spans="1:12" s="33" customFormat="1" x14ac:dyDescent="0.25">
      <c r="A47" s="352">
        <v>46015</v>
      </c>
      <c r="B47" s="353"/>
      <c r="C47" s="322">
        <v>2909</v>
      </c>
      <c r="D47" s="324"/>
      <c r="E47" s="354" t="s">
        <v>364</v>
      </c>
      <c r="F47" s="355"/>
      <c r="G47" s="355"/>
      <c r="H47" s="355"/>
      <c r="I47" s="355"/>
      <c r="J47" s="355"/>
      <c r="K47" s="356"/>
      <c r="L47" s="55">
        <v>7573000</v>
      </c>
    </row>
    <row r="48" spans="1:12" s="33" customFormat="1" x14ac:dyDescent="0.25">
      <c r="A48" s="352">
        <v>46015</v>
      </c>
      <c r="B48" s="353"/>
      <c r="C48" s="322">
        <v>2913</v>
      </c>
      <c r="D48" s="324"/>
      <c r="E48" s="354" t="s">
        <v>362</v>
      </c>
      <c r="F48" s="355"/>
      <c r="G48" s="355"/>
      <c r="H48" s="355"/>
      <c r="I48" s="355"/>
      <c r="J48" s="355"/>
      <c r="K48" s="356"/>
      <c r="L48" s="55">
        <v>5690000</v>
      </c>
    </row>
    <row r="49" spans="1:13" s="33" customFormat="1" x14ac:dyDescent="0.25">
      <c r="A49" s="352">
        <v>46017</v>
      </c>
      <c r="B49" s="353"/>
      <c r="C49" s="322">
        <v>2919</v>
      </c>
      <c r="D49" s="324"/>
      <c r="E49" s="354" t="s">
        <v>368</v>
      </c>
      <c r="F49" s="355"/>
      <c r="G49" s="355"/>
      <c r="H49" s="355"/>
      <c r="I49" s="355"/>
      <c r="J49" s="355"/>
      <c r="K49" s="356"/>
      <c r="L49" s="55">
        <v>5814000</v>
      </c>
    </row>
    <row r="50" spans="1:13" s="33" customFormat="1" x14ac:dyDescent="0.25">
      <c r="A50" s="352">
        <v>46017</v>
      </c>
      <c r="B50" s="353"/>
      <c r="C50" s="322">
        <v>2921</v>
      </c>
      <c r="D50" s="324"/>
      <c r="E50" s="354" t="s">
        <v>366</v>
      </c>
      <c r="F50" s="355"/>
      <c r="G50" s="355"/>
      <c r="H50" s="355"/>
      <c r="I50" s="355"/>
      <c r="J50" s="355"/>
      <c r="K50" s="356"/>
      <c r="L50" s="55">
        <v>5814000</v>
      </c>
    </row>
    <row r="51" spans="1:13" s="33" customFormat="1" x14ac:dyDescent="0.25">
      <c r="A51" s="352">
        <v>46020</v>
      </c>
      <c r="B51" s="353"/>
      <c r="C51" s="322" t="s">
        <v>100</v>
      </c>
      <c r="D51" s="324"/>
      <c r="E51" s="354" t="s">
        <v>370</v>
      </c>
      <c r="F51" s="355"/>
      <c r="G51" s="355"/>
      <c r="H51" s="355"/>
      <c r="I51" s="355"/>
      <c r="J51" s="355"/>
      <c r="K51" s="356"/>
      <c r="L51" s="55">
        <v>200000</v>
      </c>
    </row>
    <row r="52" spans="1:13" s="33" customFormat="1" x14ac:dyDescent="0.25">
      <c r="A52" s="352">
        <v>46021</v>
      </c>
      <c r="B52" s="353"/>
      <c r="C52" s="322">
        <v>2936</v>
      </c>
      <c r="D52" s="324"/>
      <c r="E52" s="354" t="s">
        <v>371</v>
      </c>
      <c r="F52" s="355"/>
      <c r="G52" s="355"/>
      <c r="H52" s="355"/>
      <c r="I52" s="355"/>
      <c r="J52" s="355"/>
      <c r="K52" s="356"/>
      <c r="L52" s="55">
        <v>4721000</v>
      </c>
    </row>
    <row r="53" spans="1:13" x14ac:dyDescent="0.25">
      <c r="A53" s="352"/>
      <c r="B53" s="353"/>
      <c r="C53" s="322"/>
      <c r="D53" s="324"/>
      <c r="E53" s="354"/>
      <c r="F53" s="355"/>
      <c r="G53" s="355"/>
      <c r="H53" s="355"/>
      <c r="I53" s="355"/>
      <c r="J53" s="355"/>
      <c r="K53" s="356"/>
      <c r="L53" s="55"/>
      <c r="M53" s="33"/>
    </row>
    <row r="54" spans="1:13" x14ac:dyDescent="0.25">
      <c r="A54" s="334" t="s">
        <v>51</v>
      </c>
      <c r="B54" s="335"/>
      <c r="C54" s="335"/>
      <c r="D54" s="335"/>
      <c r="E54" s="335"/>
      <c r="F54" s="335"/>
      <c r="G54" s="335"/>
      <c r="H54" s="335"/>
      <c r="I54" s="335"/>
      <c r="J54" s="335"/>
      <c r="K54" s="336"/>
      <c r="L54" s="63">
        <f>SUM(L46:L53)</f>
        <v>39146000</v>
      </c>
    </row>
    <row r="55" spans="1:13" x14ac:dyDescent="0.25">
      <c r="A55" s="65"/>
      <c r="B55" s="66"/>
      <c r="C55" s="66"/>
      <c r="D55" s="66"/>
      <c r="E55" s="66"/>
      <c r="F55" s="66"/>
      <c r="G55" s="66"/>
      <c r="H55" s="31"/>
      <c r="I55" s="31"/>
      <c r="J55" s="31"/>
      <c r="K55" s="31"/>
      <c r="L55" s="31"/>
    </row>
    <row r="56" spans="1:13" x14ac:dyDescent="0.25">
      <c r="A56" s="48" t="s">
        <v>52</v>
      </c>
      <c r="B56" s="30"/>
      <c r="C56" s="30"/>
      <c r="D56" s="30"/>
      <c r="E56" s="30"/>
      <c r="F56" s="30"/>
      <c r="G56" s="30"/>
      <c r="H56" s="31"/>
      <c r="I56" s="31"/>
      <c r="J56" s="31"/>
      <c r="K56" s="31"/>
      <c r="L56" s="31"/>
    </row>
    <row r="57" spans="1:13" x14ac:dyDescent="0.25">
      <c r="A57" s="44"/>
      <c r="B57" s="45"/>
      <c r="C57" s="45"/>
      <c r="D57" s="45"/>
      <c r="E57" s="45"/>
      <c r="F57" s="45"/>
      <c r="G57" s="45"/>
      <c r="H57" s="31"/>
      <c r="I57" s="31"/>
      <c r="J57" s="46"/>
      <c r="K57" s="46"/>
      <c r="L57" s="31"/>
    </row>
    <row r="58" spans="1:13" x14ac:dyDescent="0.25">
      <c r="A58" s="337" t="s">
        <v>53</v>
      </c>
      <c r="B58" s="338"/>
      <c r="C58" s="337" t="s">
        <v>54</v>
      </c>
      <c r="D58" s="338"/>
      <c r="E58" s="183" t="s">
        <v>55</v>
      </c>
      <c r="F58" s="68" t="s">
        <v>37</v>
      </c>
      <c r="G58" s="339"/>
      <c r="H58" s="340"/>
      <c r="I58" s="340"/>
      <c r="J58" s="340"/>
      <c r="K58" s="341"/>
      <c r="L58" s="348" t="s">
        <v>56</v>
      </c>
    </row>
    <row r="59" spans="1:13" x14ac:dyDescent="0.25">
      <c r="A59" s="316"/>
      <c r="B59" s="317"/>
      <c r="C59" s="350" t="s">
        <v>57</v>
      </c>
      <c r="D59" s="351"/>
      <c r="E59" s="69"/>
      <c r="F59" s="44"/>
      <c r="G59" s="342"/>
      <c r="H59" s="343"/>
      <c r="I59" s="343"/>
      <c r="J59" s="343"/>
      <c r="K59" s="344"/>
      <c r="L59" s="349"/>
    </row>
    <row r="60" spans="1:13" x14ac:dyDescent="0.25">
      <c r="A60" s="310"/>
      <c r="B60" s="312"/>
      <c r="C60" s="310"/>
      <c r="D60" s="312"/>
      <c r="E60" s="70"/>
      <c r="F60" s="185"/>
      <c r="G60" s="342"/>
      <c r="H60" s="343"/>
      <c r="I60" s="343"/>
      <c r="J60" s="343"/>
      <c r="K60" s="344"/>
      <c r="L60" s="55"/>
    </row>
    <row r="61" spans="1:13" x14ac:dyDescent="0.25">
      <c r="A61" s="310"/>
      <c r="B61" s="312"/>
      <c r="C61" s="310"/>
      <c r="D61" s="312"/>
      <c r="E61" s="70"/>
      <c r="F61" s="64"/>
      <c r="G61" s="345"/>
      <c r="H61" s="346"/>
      <c r="I61" s="346"/>
      <c r="J61" s="346"/>
      <c r="K61" s="347"/>
      <c r="L61" s="72"/>
    </row>
    <row r="62" spans="1:13" x14ac:dyDescent="0.25">
      <c r="A62" s="322" t="s">
        <v>41</v>
      </c>
      <c r="B62" s="323"/>
      <c r="C62" s="323"/>
      <c r="D62" s="323"/>
      <c r="E62" s="323"/>
      <c r="F62" s="323"/>
      <c r="G62" s="323"/>
      <c r="H62" s="323"/>
      <c r="I62" s="323"/>
      <c r="J62" s="323"/>
      <c r="K62" s="324"/>
      <c r="L62" s="73">
        <f>SUM(L60:L61)</f>
        <v>0</v>
      </c>
    </row>
    <row r="63" spans="1:13" x14ac:dyDescent="0.25">
      <c r="A63" s="325"/>
      <c r="B63" s="326"/>
      <c r="C63" s="326"/>
      <c r="D63" s="326"/>
      <c r="E63" s="326"/>
      <c r="F63" s="326"/>
      <c r="G63" s="326"/>
      <c r="H63" s="326"/>
      <c r="I63" s="326"/>
      <c r="J63" s="326"/>
      <c r="K63" s="326"/>
      <c r="L63" s="326"/>
    </row>
    <row r="64" spans="1:13" x14ac:dyDescent="0.25">
      <c r="A64" s="327" t="s">
        <v>58</v>
      </c>
      <c r="B64" s="328"/>
      <c r="C64" s="328"/>
      <c r="D64" s="328"/>
      <c r="E64" s="328"/>
      <c r="F64" s="328"/>
      <c r="G64" s="328"/>
      <c r="H64" s="328"/>
      <c r="I64" s="328"/>
      <c r="J64" s="329"/>
      <c r="K64" s="330">
        <f>K9+L39-L54-L62</f>
        <v>0</v>
      </c>
      <c r="L64" s="330"/>
    </row>
    <row r="65" spans="1:13" x14ac:dyDescent="0.25">
      <c r="A65" s="331"/>
      <c r="B65" s="332"/>
      <c r="C65" s="332"/>
      <c r="D65" s="332"/>
      <c r="E65" s="332"/>
      <c r="F65" s="332"/>
      <c r="G65" s="332"/>
      <c r="H65" s="332"/>
      <c r="I65" s="332"/>
      <c r="J65" s="332"/>
      <c r="K65" s="332"/>
      <c r="L65" s="333"/>
    </row>
    <row r="66" spans="1:13" x14ac:dyDescent="0.25">
      <c r="A66" s="305" t="s">
        <v>59</v>
      </c>
      <c r="B66" s="305"/>
      <c r="C66" s="305"/>
      <c r="D66" s="305"/>
      <c r="E66" s="305"/>
      <c r="F66" s="305" t="s">
        <v>60</v>
      </c>
      <c r="G66" s="305"/>
      <c r="H66" s="305"/>
      <c r="I66" s="306"/>
      <c r="J66" s="309" t="s">
        <v>61</v>
      </c>
      <c r="K66" s="309"/>
      <c r="L66" s="309"/>
    </row>
    <row r="67" spans="1:13" x14ac:dyDescent="0.25">
      <c r="A67" s="310"/>
      <c r="B67" s="311"/>
      <c r="C67" s="311"/>
      <c r="D67" s="311"/>
      <c r="E67" s="312"/>
      <c r="F67" s="310"/>
      <c r="G67" s="311"/>
      <c r="H67" s="312"/>
      <c r="I67" s="307"/>
      <c r="J67" s="313"/>
      <c r="K67" s="314"/>
      <c r="L67" s="315"/>
      <c r="M67" s="74"/>
    </row>
    <row r="68" spans="1:13" x14ac:dyDescent="0.25">
      <c r="A68" s="316"/>
      <c r="B68" s="317"/>
      <c r="C68" s="317"/>
      <c r="D68" s="317"/>
      <c r="E68" s="318"/>
      <c r="F68" s="316"/>
      <c r="G68" s="317"/>
      <c r="H68" s="318"/>
      <c r="I68" s="308"/>
      <c r="J68" s="319"/>
      <c r="K68" s="320"/>
      <c r="L68" s="321"/>
    </row>
    <row r="69" spans="1:13" x14ac:dyDescent="0.25">
      <c r="A69" s="33"/>
      <c r="B69" s="33"/>
      <c r="C69" s="33"/>
      <c r="D69" s="33"/>
      <c r="E69" s="33"/>
      <c r="F69" s="33"/>
      <c r="G69" s="33"/>
      <c r="H69" s="75"/>
      <c r="I69" s="75"/>
      <c r="J69" s="75"/>
      <c r="K69" s="75"/>
      <c r="L69" s="75"/>
    </row>
  </sheetData>
  <mergeCells count="140">
    <mergeCell ref="A66:E66"/>
    <mergeCell ref="F66:H66"/>
    <mergeCell ref="I66:I68"/>
    <mergeCell ref="J66:L66"/>
    <mergeCell ref="A67:E67"/>
    <mergeCell ref="F67:H67"/>
    <mergeCell ref="J67:L67"/>
    <mergeCell ref="A68:E68"/>
    <mergeCell ref="F68:H68"/>
    <mergeCell ref="J68:L68"/>
    <mergeCell ref="C61:D61"/>
    <mergeCell ref="A62:K62"/>
    <mergeCell ref="A63:L63"/>
    <mergeCell ref="A64:J64"/>
    <mergeCell ref="K64:L64"/>
    <mergeCell ref="A65:L65"/>
    <mergeCell ref="A54:K54"/>
    <mergeCell ref="A58:B58"/>
    <mergeCell ref="C58:D58"/>
    <mergeCell ref="G58:K61"/>
    <mergeCell ref="L58:L59"/>
    <mergeCell ref="A59:B59"/>
    <mergeCell ref="C59:D59"/>
    <mergeCell ref="A60:B60"/>
    <mergeCell ref="C60:D60"/>
    <mergeCell ref="A61:B61"/>
    <mergeCell ref="A52:B52"/>
    <mergeCell ref="C52:D52"/>
    <mergeCell ref="E52:K52"/>
    <mergeCell ref="A53:B53"/>
    <mergeCell ref="C53:D53"/>
    <mergeCell ref="E53:K53"/>
    <mergeCell ref="A50:B50"/>
    <mergeCell ref="C50:D50"/>
    <mergeCell ref="E50:K50"/>
    <mergeCell ref="A51:B51"/>
    <mergeCell ref="C51:D51"/>
    <mergeCell ref="E51:K51"/>
    <mergeCell ref="A48:B48"/>
    <mergeCell ref="C48:D48"/>
    <mergeCell ref="E48:K48"/>
    <mergeCell ref="A49:B49"/>
    <mergeCell ref="C49:D49"/>
    <mergeCell ref="E49:K49"/>
    <mergeCell ref="L43:L45"/>
    <mergeCell ref="A46:B46"/>
    <mergeCell ref="C46:D46"/>
    <mergeCell ref="E46:K46"/>
    <mergeCell ref="A47:B47"/>
    <mergeCell ref="C47:D47"/>
    <mergeCell ref="E47:K47"/>
    <mergeCell ref="A39:B39"/>
    <mergeCell ref="I39:K39"/>
    <mergeCell ref="A43:B45"/>
    <mergeCell ref="C43:D45"/>
    <mergeCell ref="E43:K45"/>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topLeftCell="A33" workbookViewId="0">
      <selection activeCell="A47" sqref="A47:K47"/>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195" t="s">
        <v>27</v>
      </c>
      <c r="B6" s="194" t="s">
        <v>28</v>
      </c>
      <c r="C6" s="194" t="s">
        <v>29</v>
      </c>
      <c r="D6" s="30"/>
      <c r="E6" s="30"/>
      <c r="F6" s="30"/>
      <c r="G6" s="30"/>
      <c r="H6" s="31"/>
      <c r="I6" s="31"/>
      <c r="J6" s="31"/>
      <c r="K6" s="31"/>
      <c r="L6" s="32"/>
    </row>
    <row r="7" spans="1:12" x14ac:dyDescent="0.25">
      <c r="A7" s="41" t="s">
        <v>214</v>
      </c>
      <c r="B7" s="42" t="s">
        <v>355</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197" t="s">
        <v>40</v>
      </c>
      <c r="K13" s="197" t="s">
        <v>40</v>
      </c>
      <c r="L13" s="197" t="s">
        <v>41</v>
      </c>
    </row>
    <row r="14" spans="1:12" x14ac:dyDescent="0.25">
      <c r="A14" s="396"/>
      <c r="B14" s="397"/>
      <c r="C14" s="396"/>
      <c r="D14" s="397"/>
      <c r="E14" s="361"/>
      <c r="F14" s="362"/>
      <c r="G14" s="399"/>
      <c r="H14" s="399"/>
      <c r="I14" s="399"/>
      <c r="J14" s="198" t="s">
        <v>42</v>
      </c>
      <c r="K14" s="198" t="s">
        <v>43</v>
      </c>
      <c r="L14" s="198" t="s">
        <v>44</v>
      </c>
    </row>
    <row r="15" spans="1:12" x14ac:dyDescent="0.25">
      <c r="A15" s="385">
        <v>1</v>
      </c>
      <c r="B15" s="384"/>
      <c r="C15" s="386" t="s">
        <v>142</v>
      </c>
      <c r="D15" s="386"/>
      <c r="E15" s="383" t="s">
        <v>286</v>
      </c>
      <c r="F15" s="383"/>
      <c r="G15" s="59" t="s">
        <v>26</v>
      </c>
      <c r="H15" s="55">
        <v>1007800</v>
      </c>
      <c r="I15" s="56"/>
      <c r="J15" s="57"/>
      <c r="K15" s="57"/>
      <c r="L15" s="58">
        <f t="shared" ref="L15:L38" si="0">H15</f>
        <v>1007800</v>
      </c>
    </row>
    <row r="16" spans="1:12" x14ac:dyDescent="0.25">
      <c r="A16" s="385">
        <v>1</v>
      </c>
      <c r="B16" s="384"/>
      <c r="C16" s="386" t="s">
        <v>77</v>
      </c>
      <c r="D16" s="386"/>
      <c r="E16" s="383" t="s">
        <v>373</v>
      </c>
      <c r="F16" s="383"/>
      <c r="G16" s="59" t="s">
        <v>26</v>
      </c>
      <c r="H16" s="55">
        <v>419300</v>
      </c>
      <c r="I16" s="56"/>
      <c r="J16" s="57"/>
      <c r="K16" s="57"/>
      <c r="L16" s="58">
        <f t="shared" si="0"/>
        <v>419300</v>
      </c>
    </row>
    <row r="17" spans="1:12" x14ac:dyDescent="0.25">
      <c r="A17" s="387" t="s">
        <v>77</v>
      </c>
      <c r="B17" s="386"/>
      <c r="C17" s="386" t="s">
        <v>342</v>
      </c>
      <c r="D17" s="386"/>
      <c r="E17" s="388" t="s">
        <v>86</v>
      </c>
      <c r="F17" s="389"/>
      <c r="G17" s="200" t="s">
        <v>26</v>
      </c>
      <c r="H17" s="60">
        <v>584865</v>
      </c>
      <c r="I17" s="56"/>
      <c r="J17" s="57"/>
      <c r="K17" s="57"/>
      <c r="L17" s="58">
        <f t="shared" si="0"/>
        <v>584865</v>
      </c>
    </row>
    <row r="18" spans="1:12" x14ac:dyDescent="0.25">
      <c r="A18" s="387" t="s">
        <v>77</v>
      </c>
      <c r="B18" s="386"/>
      <c r="C18" s="384">
        <v>5</v>
      </c>
      <c r="D18" s="384"/>
      <c r="E18" s="388" t="s">
        <v>223</v>
      </c>
      <c r="F18" s="389"/>
      <c r="G18" s="200" t="s">
        <v>26</v>
      </c>
      <c r="H18" s="55">
        <v>1681500</v>
      </c>
      <c r="I18" s="56"/>
      <c r="J18" s="57"/>
      <c r="K18" s="57"/>
      <c r="L18" s="58">
        <f t="shared" si="0"/>
        <v>1681500</v>
      </c>
    </row>
    <row r="19" spans="1:12" x14ac:dyDescent="0.25">
      <c r="A19" s="387" t="s">
        <v>77</v>
      </c>
      <c r="B19" s="386"/>
      <c r="C19" s="384">
        <v>2</v>
      </c>
      <c r="D19" s="384"/>
      <c r="E19" s="388" t="s">
        <v>311</v>
      </c>
      <c r="F19" s="389"/>
      <c r="G19" s="200" t="s">
        <v>26</v>
      </c>
      <c r="H19" s="55">
        <v>1383100</v>
      </c>
      <c r="I19" s="56"/>
      <c r="J19" s="57"/>
      <c r="K19" s="57"/>
      <c r="L19" s="58">
        <f t="shared" si="0"/>
        <v>1383100</v>
      </c>
    </row>
    <row r="20" spans="1:12" x14ac:dyDescent="0.25">
      <c r="A20" s="387" t="s">
        <v>77</v>
      </c>
      <c r="B20" s="386"/>
      <c r="C20" s="322">
        <v>5</v>
      </c>
      <c r="D20" s="324"/>
      <c r="E20" s="392" t="s">
        <v>227</v>
      </c>
      <c r="F20" s="393"/>
      <c r="G20" s="200" t="s">
        <v>26</v>
      </c>
      <c r="H20" s="55">
        <v>578500</v>
      </c>
      <c r="I20" s="56"/>
      <c r="J20" s="57"/>
      <c r="K20" s="57"/>
      <c r="L20" s="58">
        <f t="shared" si="0"/>
        <v>578500</v>
      </c>
    </row>
    <row r="21" spans="1:12" x14ac:dyDescent="0.25">
      <c r="A21" s="385">
        <v>1</v>
      </c>
      <c r="B21" s="384"/>
      <c r="C21" s="386" t="s">
        <v>77</v>
      </c>
      <c r="D21" s="386"/>
      <c r="E21" s="383" t="s">
        <v>374</v>
      </c>
      <c r="F21" s="383"/>
      <c r="G21" s="59" t="s">
        <v>26</v>
      </c>
      <c r="H21" s="55">
        <v>779300</v>
      </c>
      <c r="I21" s="56"/>
      <c r="J21" s="57"/>
      <c r="K21" s="57"/>
      <c r="L21" s="58">
        <f t="shared" si="0"/>
        <v>779300</v>
      </c>
    </row>
    <row r="22" spans="1:12" x14ac:dyDescent="0.25">
      <c r="A22" s="375">
        <v>1</v>
      </c>
      <c r="B22" s="376"/>
      <c r="C22" s="322">
        <v>6</v>
      </c>
      <c r="D22" s="324"/>
      <c r="E22" s="383" t="s">
        <v>197</v>
      </c>
      <c r="F22" s="383"/>
      <c r="G22" s="59" t="s">
        <v>26</v>
      </c>
      <c r="H22" s="55">
        <v>481700</v>
      </c>
      <c r="I22" s="56"/>
      <c r="J22" s="57"/>
      <c r="K22" s="57"/>
      <c r="L22" s="58">
        <f t="shared" si="0"/>
        <v>481700</v>
      </c>
    </row>
    <row r="23" spans="1:12" x14ac:dyDescent="0.25">
      <c r="A23" s="375">
        <v>1</v>
      </c>
      <c r="B23" s="376"/>
      <c r="C23" s="384">
        <v>4</v>
      </c>
      <c r="D23" s="384"/>
      <c r="E23" s="383" t="s">
        <v>283</v>
      </c>
      <c r="F23" s="383"/>
      <c r="G23" s="59" t="s">
        <v>26</v>
      </c>
      <c r="H23" s="55">
        <v>1080900</v>
      </c>
      <c r="I23" s="56"/>
      <c r="J23" s="57"/>
      <c r="K23" s="57"/>
      <c r="L23" s="58">
        <f t="shared" si="0"/>
        <v>1080900</v>
      </c>
    </row>
    <row r="24" spans="1:12" x14ac:dyDescent="0.25">
      <c r="A24" s="375">
        <v>3</v>
      </c>
      <c r="B24" s="376"/>
      <c r="C24" s="379" t="s">
        <v>375</v>
      </c>
      <c r="D24" s="380"/>
      <c r="E24" s="392" t="s">
        <v>376</v>
      </c>
      <c r="F24" s="393"/>
      <c r="G24" s="59" t="s">
        <v>26</v>
      </c>
      <c r="H24" s="55">
        <v>1909200</v>
      </c>
      <c r="I24" s="56"/>
      <c r="J24" s="57"/>
      <c r="K24" s="57"/>
      <c r="L24" s="58">
        <f t="shared" si="0"/>
        <v>1909200</v>
      </c>
    </row>
    <row r="25" spans="1:12" x14ac:dyDescent="0.25">
      <c r="A25" s="375">
        <v>1</v>
      </c>
      <c r="B25" s="376"/>
      <c r="C25" s="379" t="s">
        <v>142</v>
      </c>
      <c r="D25" s="380"/>
      <c r="E25" s="381" t="s">
        <v>279</v>
      </c>
      <c r="F25" s="382"/>
      <c r="G25" s="59" t="s">
        <v>26</v>
      </c>
      <c r="H25" s="55">
        <v>1106772</v>
      </c>
      <c r="I25" s="56"/>
      <c r="J25" s="57"/>
      <c r="K25" s="57"/>
      <c r="L25" s="58">
        <f t="shared" si="0"/>
        <v>1106772</v>
      </c>
    </row>
    <row r="26" spans="1:12" x14ac:dyDescent="0.25">
      <c r="A26" s="375">
        <v>2</v>
      </c>
      <c r="B26" s="376"/>
      <c r="C26" s="379" t="s">
        <v>313</v>
      </c>
      <c r="D26" s="380"/>
      <c r="E26" s="381" t="s">
        <v>356</v>
      </c>
      <c r="F26" s="382"/>
      <c r="G26" s="59" t="s">
        <v>26</v>
      </c>
      <c r="H26" s="55">
        <v>2759800</v>
      </c>
      <c r="I26" s="56"/>
      <c r="J26" s="57"/>
      <c r="K26" s="57"/>
      <c r="L26" s="58">
        <f t="shared" si="0"/>
        <v>2759800</v>
      </c>
    </row>
    <row r="27" spans="1:12" x14ac:dyDescent="0.25">
      <c r="A27" s="375">
        <v>1</v>
      </c>
      <c r="B27" s="376"/>
      <c r="C27" s="322">
        <v>5</v>
      </c>
      <c r="D27" s="324"/>
      <c r="E27" s="381" t="s">
        <v>187</v>
      </c>
      <c r="F27" s="382"/>
      <c r="G27" s="200" t="s">
        <v>26</v>
      </c>
      <c r="H27" s="60">
        <v>836680</v>
      </c>
      <c r="I27" s="56"/>
      <c r="J27" s="57"/>
      <c r="K27" s="57"/>
      <c r="L27" s="58">
        <f t="shared" si="0"/>
        <v>836680</v>
      </c>
    </row>
    <row r="28" spans="1:12" x14ac:dyDescent="0.25">
      <c r="A28" s="375">
        <v>1</v>
      </c>
      <c r="B28" s="376"/>
      <c r="C28" s="322">
        <v>6</v>
      </c>
      <c r="D28" s="324"/>
      <c r="E28" s="383" t="s">
        <v>187</v>
      </c>
      <c r="F28" s="383"/>
      <c r="G28" s="200" t="s">
        <v>26</v>
      </c>
      <c r="H28" s="60">
        <v>812545</v>
      </c>
      <c r="I28" s="56"/>
      <c r="J28" s="57"/>
      <c r="K28" s="57"/>
      <c r="L28" s="58">
        <f t="shared" si="0"/>
        <v>812545</v>
      </c>
    </row>
    <row r="29" spans="1:12" x14ac:dyDescent="0.25">
      <c r="A29" s="375">
        <v>1</v>
      </c>
      <c r="B29" s="376"/>
      <c r="C29" s="379" t="s">
        <v>158</v>
      </c>
      <c r="D29" s="380"/>
      <c r="E29" s="377" t="s">
        <v>314</v>
      </c>
      <c r="F29" s="378"/>
      <c r="G29" s="200" t="s">
        <v>26</v>
      </c>
      <c r="H29" s="60">
        <v>1386300</v>
      </c>
      <c r="I29" s="56"/>
      <c r="J29" s="57"/>
      <c r="K29" s="57"/>
      <c r="L29" s="58">
        <f t="shared" si="0"/>
        <v>1386300</v>
      </c>
    </row>
    <row r="30" spans="1:12" x14ac:dyDescent="0.25">
      <c r="A30" s="375">
        <v>1</v>
      </c>
      <c r="B30" s="376"/>
      <c r="C30" s="411" t="s">
        <v>217</v>
      </c>
      <c r="D30" s="412"/>
      <c r="E30" s="381" t="s">
        <v>107</v>
      </c>
      <c r="F30" s="382"/>
      <c r="G30" s="200" t="s">
        <v>26</v>
      </c>
      <c r="H30" s="60">
        <v>655726</v>
      </c>
      <c r="I30" s="56"/>
      <c r="J30" s="57"/>
      <c r="K30" s="57"/>
      <c r="L30" s="58">
        <f t="shared" si="0"/>
        <v>655726</v>
      </c>
    </row>
    <row r="31" spans="1:12" x14ac:dyDescent="0.25">
      <c r="A31" s="375">
        <v>1</v>
      </c>
      <c r="B31" s="376"/>
      <c r="C31" s="375">
        <v>9</v>
      </c>
      <c r="D31" s="376"/>
      <c r="E31" s="381" t="s">
        <v>107</v>
      </c>
      <c r="F31" s="382"/>
      <c r="G31" s="200" t="s">
        <v>26</v>
      </c>
      <c r="H31" s="60">
        <v>636829</v>
      </c>
      <c r="I31" s="56"/>
      <c r="J31" s="57"/>
      <c r="K31" s="57"/>
      <c r="L31" s="58">
        <f t="shared" si="0"/>
        <v>636829</v>
      </c>
    </row>
    <row r="32" spans="1:12" x14ac:dyDescent="0.25">
      <c r="A32" s="375">
        <v>1</v>
      </c>
      <c r="B32" s="376"/>
      <c r="C32" s="375">
        <v>1</v>
      </c>
      <c r="D32" s="376"/>
      <c r="E32" s="381" t="s">
        <v>377</v>
      </c>
      <c r="F32" s="382"/>
      <c r="G32" s="200" t="s">
        <v>26</v>
      </c>
      <c r="H32" s="60">
        <v>568093</v>
      </c>
      <c r="I32" s="56"/>
      <c r="J32" s="57"/>
      <c r="K32" s="57"/>
      <c r="L32" s="58">
        <f t="shared" si="0"/>
        <v>568093</v>
      </c>
    </row>
    <row r="33" spans="1:12" x14ac:dyDescent="0.25">
      <c r="A33" s="375">
        <v>1</v>
      </c>
      <c r="B33" s="376"/>
      <c r="C33" s="375">
        <v>6</v>
      </c>
      <c r="D33" s="376"/>
      <c r="E33" s="381" t="s">
        <v>186</v>
      </c>
      <c r="F33" s="382"/>
      <c r="G33" s="200" t="s">
        <v>26</v>
      </c>
      <c r="H33" s="60">
        <v>721560</v>
      </c>
      <c r="I33" s="56"/>
      <c r="J33" s="57"/>
      <c r="K33" s="57"/>
      <c r="L33" s="58">
        <f t="shared" si="0"/>
        <v>721560</v>
      </c>
    </row>
    <row r="34" spans="1:12" x14ac:dyDescent="0.25">
      <c r="A34" s="375"/>
      <c r="B34" s="376"/>
      <c r="C34" s="411"/>
      <c r="D34" s="412"/>
      <c r="E34" s="381"/>
      <c r="F34" s="382"/>
      <c r="G34" s="200"/>
      <c r="H34" s="60"/>
      <c r="I34" s="56"/>
      <c r="J34" s="57"/>
      <c r="K34" s="57"/>
      <c r="L34" s="58">
        <f t="shared" si="0"/>
        <v>0</v>
      </c>
    </row>
    <row r="35" spans="1:12" x14ac:dyDescent="0.25">
      <c r="A35" s="375"/>
      <c r="B35" s="376"/>
      <c r="C35" s="375"/>
      <c r="D35" s="376"/>
      <c r="E35" s="381"/>
      <c r="F35" s="382"/>
      <c r="G35" s="200"/>
      <c r="H35" s="60"/>
      <c r="I35" s="56"/>
      <c r="J35" s="57"/>
      <c r="K35" s="57"/>
      <c r="L35" s="58">
        <f t="shared" si="0"/>
        <v>0</v>
      </c>
    </row>
    <row r="36" spans="1:12" x14ac:dyDescent="0.25">
      <c r="A36" s="375"/>
      <c r="B36" s="376"/>
      <c r="C36" s="411"/>
      <c r="D36" s="412"/>
      <c r="E36" s="381"/>
      <c r="F36" s="382"/>
      <c r="G36" s="200"/>
      <c r="H36" s="60"/>
      <c r="I36" s="56"/>
      <c r="J36" s="57"/>
      <c r="K36" s="57"/>
      <c r="L36" s="58">
        <f t="shared" si="0"/>
        <v>0</v>
      </c>
    </row>
    <row r="37" spans="1:12" x14ac:dyDescent="0.25">
      <c r="A37" s="375"/>
      <c r="B37" s="376"/>
      <c r="C37" s="379"/>
      <c r="D37" s="380"/>
      <c r="E37" s="381"/>
      <c r="F37" s="382"/>
      <c r="G37" s="200"/>
      <c r="H37" s="60"/>
      <c r="I37" s="56"/>
      <c r="J37" s="57"/>
      <c r="K37" s="57"/>
      <c r="L37" s="58">
        <f t="shared" si="0"/>
        <v>0</v>
      </c>
    </row>
    <row r="38" spans="1:12" x14ac:dyDescent="0.25">
      <c r="A38" s="390"/>
      <c r="B38" s="391"/>
      <c r="C38" s="322"/>
      <c r="D38" s="324"/>
      <c r="E38" s="392"/>
      <c r="F38" s="393"/>
      <c r="G38" s="200"/>
      <c r="H38" s="60"/>
      <c r="I38" s="56"/>
      <c r="J38" s="57"/>
      <c r="K38" s="57"/>
      <c r="L38" s="58">
        <f t="shared" si="0"/>
        <v>0</v>
      </c>
    </row>
    <row r="39" spans="1:12" x14ac:dyDescent="0.25">
      <c r="A39" s="322"/>
      <c r="B39" s="324"/>
      <c r="C39" s="61" t="s">
        <v>45</v>
      </c>
      <c r="D39" s="62"/>
      <c r="E39" s="62"/>
      <c r="F39" s="62"/>
      <c r="G39" s="62"/>
      <c r="H39" s="63">
        <f>SUM(H15:H38)</f>
        <v>19390470</v>
      </c>
      <c r="I39" s="334"/>
      <c r="J39" s="335"/>
      <c r="K39" s="336"/>
      <c r="L39" s="63">
        <f>SUM(L15:L38)</f>
        <v>19390470</v>
      </c>
    </row>
    <row r="40" spans="1:12" x14ac:dyDescent="0.25">
      <c r="A40" s="64"/>
      <c r="B40" s="38"/>
      <c r="C40" s="29"/>
      <c r="D40" s="30"/>
      <c r="E40" s="30"/>
      <c r="F40" s="30"/>
      <c r="G40" s="30"/>
      <c r="H40" s="31"/>
      <c r="I40" s="31"/>
      <c r="J40" s="31"/>
      <c r="K40" s="31"/>
      <c r="L40" s="32"/>
    </row>
    <row r="41" spans="1:12" x14ac:dyDescent="0.25">
      <c r="A41" s="48" t="s">
        <v>46</v>
      </c>
      <c r="B41" s="38"/>
      <c r="C41" s="29"/>
      <c r="D41" s="30"/>
      <c r="E41" s="30"/>
      <c r="F41" s="30"/>
      <c r="G41" s="30"/>
      <c r="H41" s="31"/>
      <c r="I41" s="31"/>
      <c r="J41" s="31"/>
      <c r="K41" s="31"/>
      <c r="L41" s="32"/>
    </row>
    <row r="42" spans="1:12" x14ac:dyDescent="0.25">
      <c r="A42" s="48"/>
      <c r="B42" s="30"/>
      <c r="C42" s="30"/>
      <c r="D42" s="30"/>
      <c r="E42" s="30"/>
      <c r="F42" s="30"/>
      <c r="G42" s="30"/>
      <c r="H42" s="31"/>
      <c r="I42" s="31"/>
      <c r="J42" s="31"/>
      <c r="K42" s="31"/>
      <c r="L42" s="32"/>
    </row>
    <row r="43" spans="1:12" x14ac:dyDescent="0.25">
      <c r="A43" s="357" t="s">
        <v>47</v>
      </c>
      <c r="B43" s="358"/>
      <c r="C43" s="363" t="s">
        <v>48</v>
      </c>
      <c r="D43" s="364"/>
      <c r="E43" s="357" t="s">
        <v>49</v>
      </c>
      <c r="F43" s="369"/>
      <c r="G43" s="369"/>
      <c r="H43" s="369"/>
      <c r="I43" s="369"/>
      <c r="J43" s="369"/>
      <c r="K43" s="358"/>
      <c r="L43" s="372" t="s">
        <v>50</v>
      </c>
    </row>
    <row r="44" spans="1:12" x14ac:dyDescent="0.25">
      <c r="A44" s="359"/>
      <c r="B44" s="360"/>
      <c r="C44" s="365"/>
      <c r="D44" s="366"/>
      <c r="E44" s="359"/>
      <c r="F44" s="370"/>
      <c r="G44" s="370"/>
      <c r="H44" s="370"/>
      <c r="I44" s="370"/>
      <c r="J44" s="370"/>
      <c r="K44" s="360"/>
      <c r="L44" s="373"/>
    </row>
    <row r="45" spans="1:12" x14ac:dyDescent="0.25">
      <c r="A45" s="361"/>
      <c r="B45" s="362"/>
      <c r="C45" s="367"/>
      <c r="D45" s="368"/>
      <c r="E45" s="361"/>
      <c r="F45" s="371"/>
      <c r="G45" s="371"/>
      <c r="H45" s="371"/>
      <c r="I45" s="371"/>
      <c r="J45" s="371"/>
      <c r="K45" s="362"/>
      <c r="L45" s="374"/>
    </row>
    <row r="46" spans="1:12" x14ac:dyDescent="0.25">
      <c r="A46" s="352">
        <v>46028</v>
      </c>
      <c r="B46" s="353"/>
      <c r="C46" s="322">
        <v>2948</v>
      </c>
      <c r="D46" s="324"/>
      <c r="E46" s="354" t="s">
        <v>378</v>
      </c>
      <c r="F46" s="355"/>
      <c r="G46" s="355"/>
      <c r="H46" s="355"/>
      <c r="I46" s="355"/>
      <c r="J46" s="355"/>
      <c r="K46" s="356"/>
      <c r="L46" s="55">
        <v>3930000</v>
      </c>
    </row>
    <row r="47" spans="1:12" s="33" customFormat="1" x14ac:dyDescent="0.25">
      <c r="A47" s="352">
        <v>46031</v>
      </c>
      <c r="B47" s="353"/>
      <c r="C47" s="322" t="s">
        <v>100</v>
      </c>
      <c r="D47" s="324"/>
      <c r="E47" s="354" t="s">
        <v>244</v>
      </c>
      <c r="F47" s="355"/>
      <c r="G47" s="355"/>
      <c r="H47" s="355"/>
      <c r="I47" s="355"/>
      <c r="J47" s="355"/>
      <c r="K47" s="356"/>
      <c r="L47" s="55">
        <v>15460470</v>
      </c>
    </row>
    <row r="48" spans="1:12" s="33" customFormat="1" x14ac:dyDescent="0.25">
      <c r="A48" s="352"/>
      <c r="B48" s="353"/>
      <c r="C48" s="322"/>
      <c r="D48" s="324"/>
      <c r="E48" s="354"/>
      <c r="F48" s="355"/>
      <c r="G48" s="355"/>
      <c r="H48" s="355"/>
      <c r="I48" s="355"/>
      <c r="J48" s="355"/>
      <c r="K48" s="356"/>
      <c r="L48" s="55"/>
    </row>
    <row r="49" spans="1:13" s="33" customFormat="1" x14ac:dyDescent="0.25">
      <c r="A49" s="352"/>
      <c r="B49" s="353"/>
      <c r="C49" s="322"/>
      <c r="D49" s="324"/>
      <c r="E49" s="354"/>
      <c r="F49" s="355"/>
      <c r="G49" s="355"/>
      <c r="H49" s="355"/>
      <c r="I49" s="355"/>
      <c r="J49" s="355"/>
      <c r="K49" s="356"/>
      <c r="L49" s="55"/>
    </row>
    <row r="50" spans="1:13" s="33" customFormat="1" x14ac:dyDescent="0.25">
      <c r="A50" s="352"/>
      <c r="B50" s="353"/>
      <c r="C50" s="322"/>
      <c r="D50" s="324"/>
      <c r="E50" s="354"/>
      <c r="F50" s="355"/>
      <c r="G50" s="355"/>
      <c r="H50" s="355"/>
      <c r="I50" s="355"/>
      <c r="J50" s="355"/>
      <c r="K50" s="356"/>
      <c r="L50" s="55"/>
    </row>
    <row r="51" spans="1:13" s="33" customFormat="1" x14ac:dyDescent="0.25">
      <c r="A51" s="352"/>
      <c r="B51" s="353"/>
      <c r="C51" s="322"/>
      <c r="D51" s="324"/>
      <c r="E51" s="354"/>
      <c r="F51" s="355"/>
      <c r="G51" s="355"/>
      <c r="H51" s="355"/>
      <c r="I51" s="355"/>
      <c r="J51" s="355"/>
      <c r="K51" s="356"/>
      <c r="L51" s="55"/>
    </row>
    <row r="52" spans="1:13" s="33" customFormat="1" x14ac:dyDescent="0.25">
      <c r="A52" s="352"/>
      <c r="B52" s="353"/>
      <c r="C52" s="322"/>
      <c r="D52" s="324"/>
      <c r="E52" s="354"/>
      <c r="F52" s="355"/>
      <c r="G52" s="355"/>
      <c r="H52" s="355"/>
      <c r="I52" s="355"/>
      <c r="J52" s="355"/>
      <c r="K52" s="356"/>
      <c r="L52" s="55"/>
    </row>
    <row r="53" spans="1:13" x14ac:dyDescent="0.25">
      <c r="A53" s="352"/>
      <c r="B53" s="353"/>
      <c r="C53" s="322"/>
      <c r="D53" s="324"/>
      <c r="E53" s="354"/>
      <c r="F53" s="355"/>
      <c r="G53" s="355"/>
      <c r="H53" s="355"/>
      <c r="I53" s="355"/>
      <c r="J53" s="355"/>
      <c r="K53" s="356"/>
      <c r="L53" s="55"/>
      <c r="M53" s="33"/>
    </row>
    <row r="54" spans="1:13" x14ac:dyDescent="0.25">
      <c r="A54" s="334" t="s">
        <v>51</v>
      </c>
      <c r="B54" s="335"/>
      <c r="C54" s="335"/>
      <c r="D54" s="335"/>
      <c r="E54" s="335"/>
      <c r="F54" s="335"/>
      <c r="G54" s="335"/>
      <c r="H54" s="335"/>
      <c r="I54" s="335"/>
      <c r="J54" s="335"/>
      <c r="K54" s="336"/>
      <c r="L54" s="63">
        <f>SUM(L46:L53)</f>
        <v>19390470</v>
      </c>
    </row>
    <row r="55" spans="1:13" x14ac:dyDescent="0.25">
      <c r="A55" s="65"/>
      <c r="B55" s="66"/>
      <c r="C55" s="66"/>
      <c r="D55" s="66"/>
      <c r="E55" s="66"/>
      <c r="F55" s="66"/>
      <c r="G55" s="66"/>
      <c r="H55" s="31"/>
      <c r="I55" s="31"/>
      <c r="J55" s="31"/>
      <c r="K55" s="31"/>
      <c r="L55" s="31"/>
    </row>
    <row r="56" spans="1:13" x14ac:dyDescent="0.25">
      <c r="A56" s="48" t="s">
        <v>52</v>
      </c>
      <c r="B56" s="30"/>
      <c r="C56" s="30"/>
      <c r="D56" s="30"/>
      <c r="E56" s="30"/>
      <c r="F56" s="30"/>
      <c r="G56" s="30"/>
      <c r="H56" s="31"/>
      <c r="I56" s="31"/>
      <c r="J56" s="31"/>
      <c r="K56" s="31"/>
      <c r="L56" s="31"/>
    </row>
    <row r="57" spans="1:13" x14ac:dyDescent="0.25">
      <c r="A57" s="44"/>
      <c r="B57" s="45"/>
      <c r="C57" s="45"/>
      <c r="D57" s="45"/>
      <c r="E57" s="45"/>
      <c r="F57" s="45"/>
      <c r="G57" s="45"/>
      <c r="H57" s="31"/>
      <c r="I57" s="31"/>
      <c r="J57" s="46"/>
      <c r="K57" s="46"/>
      <c r="L57" s="31"/>
    </row>
    <row r="58" spans="1:13" x14ac:dyDescent="0.25">
      <c r="A58" s="337" t="s">
        <v>53</v>
      </c>
      <c r="B58" s="338"/>
      <c r="C58" s="337" t="s">
        <v>54</v>
      </c>
      <c r="D58" s="338"/>
      <c r="E58" s="196" t="s">
        <v>55</v>
      </c>
      <c r="F58" s="68" t="s">
        <v>37</v>
      </c>
      <c r="G58" s="339"/>
      <c r="H58" s="340"/>
      <c r="I58" s="340"/>
      <c r="J58" s="340"/>
      <c r="K58" s="341"/>
      <c r="L58" s="348" t="s">
        <v>56</v>
      </c>
    </row>
    <row r="59" spans="1:13" x14ac:dyDescent="0.25">
      <c r="A59" s="316"/>
      <c r="B59" s="317"/>
      <c r="C59" s="350" t="s">
        <v>57</v>
      </c>
      <c r="D59" s="351"/>
      <c r="E59" s="69"/>
      <c r="F59" s="44"/>
      <c r="G59" s="342"/>
      <c r="H59" s="343"/>
      <c r="I59" s="343"/>
      <c r="J59" s="343"/>
      <c r="K59" s="344"/>
      <c r="L59" s="349"/>
    </row>
    <row r="60" spans="1:13" x14ac:dyDescent="0.25">
      <c r="A60" s="310"/>
      <c r="B60" s="312"/>
      <c r="C60" s="310"/>
      <c r="D60" s="312"/>
      <c r="E60" s="70"/>
      <c r="F60" s="199"/>
      <c r="G60" s="342"/>
      <c r="H60" s="343"/>
      <c r="I60" s="343"/>
      <c r="J60" s="343"/>
      <c r="K60" s="344"/>
      <c r="L60" s="55"/>
    </row>
    <row r="61" spans="1:13" x14ac:dyDescent="0.25">
      <c r="A61" s="310"/>
      <c r="B61" s="312"/>
      <c r="C61" s="310"/>
      <c r="D61" s="312"/>
      <c r="E61" s="70"/>
      <c r="F61" s="64"/>
      <c r="G61" s="345"/>
      <c r="H61" s="346"/>
      <c r="I61" s="346"/>
      <c r="J61" s="346"/>
      <c r="K61" s="347"/>
      <c r="L61" s="72"/>
    </row>
    <row r="62" spans="1:13" x14ac:dyDescent="0.25">
      <c r="A62" s="322" t="s">
        <v>41</v>
      </c>
      <c r="B62" s="323"/>
      <c r="C62" s="323"/>
      <c r="D62" s="323"/>
      <c r="E62" s="323"/>
      <c r="F62" s="323"/>
      <c r="G62" s="323"/>
      <c r="H62" s="323"/>
      <c r="I62" s="323"/>
      <c r="J62" s="323"/>
      <c r="K62" s="324"/>
      <c r="L62" s="73">
        <f>SUM(L60:L61)</f>
        <v>0</v>
      </c>
    </row>
    <row r="63" spans="1:13" x14ac:dyDescent="0.25">
      <c r="A63" s="325"/>
      <c r="B63" s="326"/>
      <c r="C63" s="326"/>
      <c r="D63" s="326"/>
      <c r="E63" s="326"/>
      <c r="F63" s="326"/>
      <c r="G63" s="326"/>
      <c r="H63" s="326"/>
      <c r="I63" s="326"/>
      <c r="J63" s="326"/>
      <c r="K63" s="326"/>
      <c r="L63" s="326"/>
    </row>
    <row r="64" spans="1:13" x14ac:dyDescent="0.25">
      <c r="A64" s="327" t="s">
        <v>58</v>
      </c>
      <c r="B64" s="328"/>
      <c r="C64" s="328"/>
      <c r="D64" s="328"/>
      <c r="E64" s="328"/>
      <c r="F64" s="328"/>
      <c r="G64" s="328"/>
      <c r="H64" s="328"/>
      <c r="I64" s="328"/>
      <c r="J64" s="329"/>
      <c r="K64" s="330">
        <f>K9+L39-L54-L62</f>
        <v>0</v>
      </c>
      <c r="L64" s="330"/>
    </row>
    <row r="65" spans="1:13" x14ac:dyDescent="0.25">
      <c r="A65" s="331"/>
      <c r="B65" s="332"/>
      <c r="C65" s="332"/>
      <c r="D65" s="332"/>
      <c r="E65" s="332"/>
      <c r="F65" s="332"/>
      <c r="G65" s="332"/>
      <c r="H65" s="332"/>
      <c r="I65" s="332"/>
      <c r="J65" s="332"/>
      <c r="K65" s="332"/>
      <c r="L65" s="333"/>
    </row>
    <row r="66" spans="1:13" x14ac:dyDescent="0.25">
      <c r="A66" s="305" t="s">
        <v>59</v>
      </c>
      <c r="B66" s="305"/>
      <c r="C66" s="305"/>
      <c r="D66" s="305"/>
      <c r="E66" s="305"/>
      <c r="F66" s="305" t="s">
        <v>60</v>
      </c>
      <c r="G66" s="305"/>
      <c r="H66" s="305"/>
      <c r="I66" s="306"/>
      <c r="J66" s="309" t="s">
        <v>61</v>
      </c>
      <c r="K66" s="309"/>
      <c r="L66" s="309"/>
    </row>
    <row r="67" spans="1:13" x14ac:dyDescent="0.25">
      <c r="A67" s="310"/>
      <c r="B67" s="311"/>
      <c r="C67" s="311"/>
      <c r="D67" s="311"/>
      <c r="E67" s="312"/>
      <c r="F67" s="310"/>
      <c r="G67" s="311"/>
      <c r="H67" s="312"/>
      <c r="I67" s="307"/>
      <c r="J67" s="313"/>
      <c r="K67" s="314"/>
      <c r="L67" s="315"/>
      <c r="M67" s="74"/>
    </row>
    <row r="68" spans="1:13" x14ac:dyDescent="0.25">
      <c r="A68" s="316"/>
      <c r="B68" s="317"/>
      <c r="C68" s="317"/>
      <c r="D68" s="317"/>
      <c r="E68" s="318"/>
      <c r="F68" s="316"/>
      <c r="G68" s="317"/>
      <c r="H68" s="318"/>
      <c r="I68" s="308"/>
      <c r="J68" s="319"/>
      <c r="K68" s="320"/>
      <c r="L68" s="321"/>
    </row>
    <row r="69" spans="1:13" x14ac:dyDescent="0.25">
      <c r="A69" s="33"/>
      <c r="B69" s="33"/>
      <c r="C69" s="33"/>
      <c r="D69" s="33"/>
      <c r="E69" s="33"/>
      <c r="F69" s="33"/>
      <c r="G69" s="33"/>
      <c r="H69" s="75"/>
      <c r="I69" s="75"/>
      <c r="J69" s="75"/>
      <c r="K69" s="75"/>
      <c r="L69" s="75"/>
    </row>
  </sheetData>
  <mergeCells count="140">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39:B39"/>
    <mergeCell ref="I39:K39"/>
    <mergeCell ref="A43:B45"/>
    <mergeCell ref="C43:D45"/>
    <mergeCell ref="E43:K45"/>
    <mergeCell ref="L43:L45"/>
    <mergeCell ref="A37:B37"/>
    <mergeCell ref="C37:D37"/>
    <mergeCell ref="E37:F37"/>
    <mergeCell ref="A38:B38"/>
    <mergeCell ref="C38:D38"/>
    <mergeCell ref="E38:F38"/>
    <mergeCell ref="A48:B48"/>
    <mergeCell ref="C48:D48"/>
    <mergeCell ref="E48:K48"/>
    <mergeCell ref="A49:B49"/>
    <mergeCell ref="C49:D49"/>
    <mergeCell ref="E49:K49"/>
    <mergeCell ref="A46:B46"/>
    <mergeCell ref="C46:D46"/>
    <mergeCell ref="E46:K46"/>
    <mergeCell ref="A47:B47"/>
    <mergeCell ref="C47:D47"/>
    <mergeCell ref="E47:K47"/>
    <mergeCell ref="A52:B52"/>
    <mergeCell ref="C52:D52"/>
    <mergeCell ref="E52:K52"/>
    <mergeCell ref="A53:B53"/>
    <mergeCell ref="C53:D53"/>
    <mergeCell ref="E53:K53"/>
    <mergeCell ref="A50:B50"/>
    <mergeCell ref="C50:D50"/>
    <mergeCell ref="E50:K50"/>
    <mergeCell ref="A51:B51"/>
    <mergeCell ref="C51:D51"/>
    <mergeCell ref="E51:K51"/>
    <mergeCell ref="C61:D61"/>
    <mergeCell ref="A62:K62"/>
    <mergeCell ref="A63:L63"/>
    <mergeCell ref="A64:J64"/>
    <mergeCell ref="K64:L64"/>
    <mergeCell ref="A65:L65"/>
    <mergeCell ref="A54:K54"/>
    <mergeCell ref="A58:B58"/>
    <mergeCell ref="C58:D58"/>
    <mergeCell ref="G58:K61"/>
    <mergeCell ref="L58:L59"/>
    <mergeCell ref="A59:B59"/>
    <mergeCell ref="C59:D59"/>
    <mergeCell ref="A60:B60"/>
    <mergeCell ref="C60:D60"/>
    <mergeCell ref="A61:B61"/>
    <mergeCell ref="A66:E66"/>
    <mergeCell ref="F66:H66"/>
    <mergeCell ref="I66:I68"/>
    <mergeCell ref="J66:L66"/>
    <mergeCell ref="A67:E67"/>
    <mergeCell ref="F67:H67"/>
    <mergeCell ref="J67:L67"/>
    <mergeCell ref="A68:E68"/>
    <mergeCell ref="F68:H68"/>
    <mergeCell ref="J68:L68"/>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opLeftCell="A37" workbookViewId="0">
      <selection activeCell="A50" sqref="A50:B50"/>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02" t="s">
        <v>27</v>
      </c>
      <c r="B6" s="201" t="s">
        <v>28</v>
      </c>
      <c r="C6" s="201" t="s">
        <v>29</v>
      </c>
      <c r="D6" s="30"/>
      <c r="E6" s="30"/>
      <c r="F6" s="30"/>
      <c r="G6" s="30"/>
      <c r="H6" s="31"/>
      <c r="I6" s="31"/>
      <c r="J6" s="31"/>
      <c r="K6" s="31"/>
      <c r="L6" s="32"/>
    </row>
    <row r="7" spans="1:12" x14ac:dyDescent="0.25">
      <c r="A7" s="41" t="s">
        <v>31</v>
      </c>
      <c r="B7" s="42" t="s">
        <v>355</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04" t="s">
        <v>40</v>
      </c>
      <c r="K13" s="204" t="s">
        <v>40</v>
      </c>
      <c r="L13" s="204" t="s">
        <v>41</v>
      </c>
    </row>
    <row r="14" spans="1:12" x14ac:dyDescent="0.25">
      <c r="A14" s="396"/>
      <c r="B14" s="397"/>
      <c r="C14" s="396"/>
      <c r="D14" s="397"/>
      <c r="E14" s="361"/>
      <c r="F14" s="362"/>
      <c r="G14" s="399"/>
      <c r="H14" s="399"/>
      <c r="I14" s="399"/>
      <c r="J14" s="205" t="s">
        <v>42</v>
      </c>
      <c r="K14" s="205" t="s">
        <v>43</v>
      </c>
      <c r="L14" s="205" t="s">
        <v>44</v>
      </c>
    </row>
    <row r="15" spans="1:12" x14ac:dyDescent="0.25">
      <c r="A15" s="385">
        <v>1</v>
      </c>
      <c r="B15" s="384"/>
      <c r="C15" s="386" t="s">
        <v>206</v>
      </c>
      <c r="D15" s="386"/>
      <c r="E15" s="383" t="s">
        <v>249</v>
      </c>
      <c r="F15" s="383"/>
      <c r="G15" s="59" t="s">
        <v>240</v>
      </c>
      <c r="H15" s="55">
        <v>287300</v>
      </c>
      <c r="I15" s="56"/>
      <c r="J15" s="57"/>
      <c r="K15" s="57"/>
      <c r="L15" s="58">
        <f t="shared" ref="L15:L39" si="0">H15</f>
        <v>287300</v>
      </c>
    </row>
    <row r="16" spans="1:12" x14ac:dyDescent="0.25">
      <c r="A16" s="385">
        <v>1</v>
      </c>
      <c r="B16" s="384"/>
      <c r="C16" s="386" t="s">
        <v>217</v>
      </c>
      <c r="D16" s="386"/>
      <c r="E16" s="383" t="s">
        <v>132</v>
      </c>
      <c r="F16" s="383"/>
      <c r="G16" s="59" t="s">
        <v>26</v>
      </c>
      <c r="H16" s="55">
        <v>564700</v>
      </c>
      <c r="I16" s="56"/>
      <c r="J16" s="57"/>
      <c r="K16" s="57"/>
      <c r="L16" s="58">
        <f t="shared" si="0"/>
        <v>564700</v>
      </c>
    </row>
    <row r="17" spans="1:12" x14ac:dyDescent="0.25">
      <c r="A17" s="387" t="s">
        <v>77</v>
      </c>
      <c r="B17" s="386"/>
      <c r="C17" s="386" t="s">
        <v>273</v>
      </c>
      <c r="D17" s="386"/>
      <c r="E17" s="388" t="s">
        <v>72</v>
      </c>
      <c r="F17" s="389"/>
      <c r="G17" s="207" t="s">
        <v>26</v>
      </c>
      <c r="H17" s="60">
        <v>672300</v>
      </c>
      <c r="I17" s="56"/>
      <c r="J17" s="57"/>
      <c r="K17" s="57"/>
      <c r="L17" s="58">
        <f t="shared" si="0"/>
        <v>672300</v>
      </c>
    </row>
    <row r="18" spans="1:12" x14ac:dyDescent="0.25">
      <c r="A18" s="387" t="s">
        <v>77</v>
      </c>
      <c r="B18" s="386"/>
      <c r="C18" s="384">
        <v>1</v>
      </c>
      <c r="D18" s="384"/>
      <c r="E18" s="388" t="s">
        <v>380</v>
      </c>
      <c r="F18" s="389"/>
      <c r="G18" s="207" t="s">
        <v>26</v>
      </c>
      <c r="H18" s="55">
        <v>1376500</v>
      </c>
      <c r="I18" s="56"/>
      <c r="J18" s="57"/>
      <c r="K18" s="57"/>
      <c r="L18" s="58">
        <f t="shared" si="0"/>
        <v>1376500</v>
      </c>
    </row>
    <row r="19" spans="1:12" x14ac:dyDescent="0.25">
      <c r="A19" s="387" t="s">
        <v>77</v>
      </c>
      <c r="B19" s="386"/>
      <c r="C19" s="384">
        <v>5</v>
      </c>
      <c r="D19" s="384"/>
      <c r="E19" s="388" t="s">
        <v>248</v>
      </c>
      <c r="F19" s="389"/>
      <c r="G19" s="207" t="s">
        <v>26</v>
      </c>
      <c r="H19" s="55">
        <v>780600</v>
      </c>
      <c r="I19" s="56"/>
      <c r="J19" s="57"/>
      <c r="K19" s="57"/>
      <c r="L19" s="58">
        <f t="shared" si="0"/>
        <v>780600</v>
      </c>
    </row>
    <row r="20" spans="1:12" x14ac:dyDescent="0.25">
      <c r="A20" s="387" t="s">
        <v>77</v>
      </c>
      <c r="B20" s="386"/>
      <c r="C20" s="322">
        <v>1</v>
      </c>
      <c r="D20" s="324"/>
      <c r="E20" s="392" t="s">
        <v>381</v>
      </c>
      <c r="F20" s="393"/>
      <c r="G20" s="207" t="s">
        <v>26</v>
      </c>
      <c r="H20" s="55">
        <v>308200</v>
      </c>
      <c r="I20" s="56"/>
      <c r="J20" s="57"/>
      <c r="K20" s="57"/>
      <c r="L20" s="58">
        <f t="shared" si="0"/>
        <v>308200</v>
      </c>
    </row>
    <row r="21" spans="1:12" x14ac:dyDescent="0.25">
      <c r="A21" s="385">
        <v>1</v>
      </c>
      <c r="B21" s="384"/>
      <c r="C21" s="386" t="s">
        <v>77</v>
      </c>
      <c r="D21" s="386"/>
      <c r="E21" s="383" t="s">
        <v>382</v>
      </c>
      <c r="F21" s="383"/>
      <c r="G21" s="59" t="s">
        <v>26</v>
      </c>
      <c r="H21" s="55">
        <v>1376500</v>
      </c>
      <c r="I21" s="56"/>
      <c r="J21" s="57"/>
      <c r="K21" s="57"/>
      <c r="L21" s="58">
        <f t="shared" si="0"/>
        <v>1376500</v>
      </c>
    </row>
    <row r="22" spans="1:12" x14ac:dyDescent="0.25">
      <c r="A22" s="375">
        <v>1</v>
      </c>
      <c r="B22" s="376"/>
      <c r="C22" s="322">
        <v>2</v>
      </c>
      <c r="D22" s="324"/>
      <c r="E22" s="383" t="s">
        <v>291</v>
      </c>
      <c r="F22" s="383"/>
      <c r="G22" s="59" t="s">
        <v>26</v>
      </c>
      <c r="H22" s="55">
        <v>1114427</v>
      </c>
      <c r="I22" s="56"/>
      <c r="J22" s="57"/>
      <c r="K22" s="57"/>
      <c r="L22" s="58">
        <f t="shared" si="0"/>
        <v>1114427</v>
      </c>
    </row>
    <row r="23" spans="1:12" x14ac:dyDescent="0.25">
      <c r="A23" s="375">
        <v>1</v>
      </c>
      <c r="B23" s="376"/>
      <c r="C23" s="384">
        <v>3</v>
      </c>
      <c r="D23" s="384"/>
      <c r="E23" s="383" t="s">
        <v>291</v>
      </c>
      <c r="F23" s="383"/>
      <c r="G23" s="59" t="s">
        <v>26</v>
      </c>
      <c r="H23" s="55">
        <v>1082495</v>
      </c>
      <c r="I23" s="56"/>
      <c r="J23" s="57"/>
      <c r="K23" s="57"/>
      <c r="L23" s="58">
        <f t="shared" si="0"/>
        <v>1082495</v>
      </c>
    </row>
    <row r="24" spans="1:12" x14ac:dyDescent="0.25">
      <c r="A24" s="375">
        <v>1</v>
      </c>
      <c r="B24" s="376"/>
      <c r="C24" s="379" t="s">
        <v>77</v>
      </c>
      <c r="D24" s="380"/>
      <c r="E24" s="392" t="s">
        <v>384</v>
      </c>
      <c r="F24" s="393"/>
      <c r="G24" s="59" t="s">
        <v>26</v>
      </c>
      <c r="H24" s="55">
        <v>841000</v>
      </c>
      <c r="I24" s="56"/>
      <c r="J24" s="57"/>
      <c r="K24" s="57"/>
      <c r="L24" s="58">
        <f t="shared" si="0"/>
        <v>841000</v>
      </c>
    </row>
    <row r="25" spans="1:12" x14ac:dyDescent="0.25">
      <c r="A25" s="375">
        <v>1</v>
      </c>
      <c r="B25" s="376"/>
      <c r="C25" s="379" t="s">
        <v>265</v>
      </c>
      <c r="D25" s="380"/>
      <c r="E25" s="381" t="s">
        <v>249</v>
      </c>
      <c r="F25" s="382"/>
      <c r="G25" s="59" t="s">
        <v>240</v>
      </c>
      <c r="H25" s="55">
        <v>287300</v>
      </c>
      <c r="I25" s="56"/>
      <c r="J25" s="57"/>
      <c r="K25" s="57"/>
      <c r="L25" s="58">
        <f t="shared" si="0"/>
        <v>287300</v>
      </c>
    </row>
    <row r="26" spans="1:12" x14ac:dyDescent="0.25">
      <c r="A26" s="375">
        <v>1</v>
      </c>
      <c r="B26" s="376"/>
      <c r="C26" s="379" t="s">
        <v>265</v>
      </c>
      <c r="D26" s="380"/>
      <c r="E26" s="381" t="s">
        <v>160</v>
      </c>
      <c r="F26" s="382"/>
      <c r="G26" s="59" t="s">
        <v>26</v>
      </c>
      <c r="H26" s="55">
        <v>547100</v>
      </c>
      <c r="I26" s="56"/>
      <c r="J26" s="57"/>
      <c r="K26" s="57"/>
      <c r="L26" s="58">
        <f t="shared" si="0"/>
        <v>547100</v>
      </c>
    </row>
    <row r="27" spans="1:12" x14ac:dyDescent="0.25">
      <c r="A27" s="375">
        <v>1</v>
      </c>
      <c r="B27" s="376"/>
      <c r="C27" s="322">
        <v>8</v>
      </c>
      <c r="D27" s="324"/>
      <c r="E27" s="381" t="s">
        <v>160</v>
      </c>
      <c r="F27" s="382"/>
      <c r="G27" s="207" t="s">
        <v>26</v>
      </c>
      <c r="H27" s="60">
        <v>534800</v>
      </c>
      <c r="I27" s="56"/>
      <c r="J27" s="57"/>
      <c r="K27" s="57"/>
      <c r="L27" s="58">
        <f t="shared" si="0"/>
        <v>534800</v>
      </c>
    </row>
    <row r="28" spans="1:12" x14ac:dyDescent="0.25">
      <c r="A28" s="375">
        <v>1</v>
      </c>
      <c r="B28" s="376"/>
      <c r="C28" s="322">
        <v>7</v>
      </c>
      <c r="D28" s="324"/>
      <c r="E28" s="383" t="s">
        <v>385</v>
      </c>
      <c r="F28" s="383"/>
      <c r="G28" s="207" t="s">
        <v>26</v>
      </c>
      <c r="H28" s="60">
        <v>425600</v>
      </c>
      <c r="I28" s="56"/>
      <c r="J28" s="57"/>
      <c r="K28" s="57"/>
      <c r="L28" s="58">
        <f t="shared" si="0"/>
        <v>425600</v>
      </c>
    </row>
    <row r="29" spans="1:12" x14ac:dyDescent="0.25">
      <c r="A29" s="375">
        <v>1</v>
      </c>
      <c r="B29" s="376"/>
      <c r="C29" s="379" t="s">
        <v>77</v>
      </c>
      <c r="D29" s="380"/>
      <c r="E29" s="377" t="s">
        <v>386</v>
      </c>
      <c r="F29" s="378"/>
      <c r="G29" s="207" t="s">
        <v>26</v>
      </c>
      <c r="H29" s="60">
        <v>1421200</v>
      </c>
      <c r="I29" s="56"/>
      <c r="J29" s="57"/>
      <c r="K29" s="57"/>
      <c r="L29" s="58">
        <f t="shared" si="0"/>
        <v>1421200</v>
      </c>
    </row>
    <row r="30" spans="1:12" x14ac:dyDescent="0.25">
      <c r="A30" s="375">
        <v>1</v>
      </c>
      <c r="B30" s="376"/>
      <c r="C30" s="411" t="s">
        <v>188</v>
      </c>
      <c r="D30" s="412"/>
      <c r="E30" s="381" t="s">
        <v>270</v>
      </c>
      <c r="F30" s="382"/>
      <c r="G30" s="207" t="s">
        <v>26</v>
      </c>
      <c r="H30" s="60">
        <v>1968793</v>
      </c>
      <c r="I30" s="56"/>
      <c r="J30" s="57"/>
      <c r="K30" s="57"/>
      <c r="L30" s="58">
        <f t="shared" si="0"/>
        <v>1968793</v>
      </c>
    </row>
    <row r="31" spans="1:12" x14ac:dyDescent="0.25">
      <c r="A31" s="375">
        <v>1</v>
      </c>
      <c r="B31" s="376"/>
      <c r="C31" s="375">
        <v>10</v>
      </c>
      <c r="D31" s="376"/>
      <c r="E31" s="381" t="s">
        <v>89</v>
      </c>
      <c r="F31" s="382"/>
      <c r="G31" s="207" t="s">
        <v>26</v>
      </c>
      <c r="H31" s="60">
        <v>1071105</v>
      </c>
      <c r="I31" s="56"/>
      <c r="J31" s="57"/>
      <c r="K31" s="57"/>
      <c r="L31" s="58">
        <f t="shared" si="0"/>
        <v>1071105</v>
      </c>
    </row>
    <row r="32" spans="1:12" x14ac:dyDescent="0.25">
      <c r="A32" s="375">
        <v>1</v>
      </c>
      <c r="B32" s="376"/>
      <c r="C32" s="375">
        <v>1</v>
      </c>
      <c r="D32" s="376"/>
      <c r="E32" s="381" t="s">
        <v>387</v>
      </c>
      <c r="F32" s="382"/>
      <c r="G32" s="207" t="s">
        <v>26</v>
      </c>
      <c r="H32" s="60">
        <v>1218500</v>
      </c>
      <c r="I32" s="56"/>
      <c r="J32" s="57"/>
      <c r="K32" s="57"/>
      <c r="L32" s="58">
        <f t="shared" si="0"/>
        <v>1218500</v>
      </c>
    </row>
    <row r="33" spans="1:12" x14ac:dyDescent="0.25">
      <c r="A33" s="375">
        <v>1</v>
      </c>
      <c r="B33" s="376"/>
      <c r="C33" s="375">
        <v>8</v>
      </c>
      <c r="D33" s="376"/>
      <c r="E33" s="381" t="s">
        <v>182</v>
      </c>
      <c r="F33" s="382"/>
      <c r="G33" s="207" t="s">
        <v>26</v>
      </c>
      <c r="H33" s="60">
        <v>418100</v>
      </c>
      <c r="I33" s="56"/>
      <c r="J33" s="57"/>
      <c r="K33" s="57"/>
      <c r="L33" s="58">
        <f t="shared" si="0"/>
        <v>418100</v>
      </c>
    </row>
    <row r="34" spans="1:12" x14ac:dyDescent="0.25">
      <c r="A34" s="375">
        <v>1</v>
      </c>
      <c r="B34" s="376"/>
      <c r="C34" s="411" t="s">
        <v>265</v>
      </c>
      <c r="D34" s="412"/>
      <c r="E34" s="381" t="s">
        <v>185</v>
      </c>
      <c r="F34" s="382"/>
      <c r="G34" s="207" t="s">
        <v>26</v>
      </c>
      <c r="H34" s="60">
        <v>325300</v>
      </c>
      <c r="I34" s="56"/>
      <c r="J34" s="57"/>
      <c r="K34" s="57"/>
      <c r="L34" s="58">
        <f t="shared" si="0"/>
        <v>325300</v>
      </c>
    </row>
    <row r="35" spans="1:12" x14ac:dyDescent="0.25">
      <c r="A35" s="375">
        <v>1</v>
      </c>
      <c r="B35" s="376"/>
      <c r="C35" s="375">
        <v>2</v>
      </c>
      <c r="D35" s="376"/>
      <c r="E35" s="381" t="s">
        <v>388</v>
      </c>
      <c r="F35" s="382"/>
      <c r="G35" s="207" t="s">
        <v>26</v>
      </c>
      <c r="H35" s="60">
        <v>619100</v>
      </c>
      <c r="I35" s="56"/>
      <c r="J35" s="57"/>
      <c r="K35" s="57"/>
      <c r="L35" s="58">
        <f t="shared" si="0"/>
        <v>619100</v>
      </c>
    </row>
    <row r="36" spans="1:12" x14ac:dyDescent="0.25">
      <c r="A36" s="375">
        <v>1</v>
      </c>
      <c r="B36" s="376"/>
      <c r="C36" s="411" t="s">
        <v>188</v>
      </c>
      <c r="D36" s="412"/>
      <c r="E36" s="381" t="s">
        <v>264</v>
      </c>
      <c r="F36" s="382"/>
      <c r="G36" s="207" t="s">
        <v>26</v>
      </c>
      <c r="H36" s="60">
        <v>1047037</v>
      </c>
      <c r="I36" s="56"/>
      <c r="J36" s="57"/>
      <c r="K36" s="57"/>
      <c r="L36" s="58">
        <f t="shared" si="0"/>
        <v>1047037</v>
      </c>
    </row>
    <row r="37" spans="1:12" x14ac:dyDescent="0.25">
      <c r="A37" s="375">
        <v>1</v>
      </c>
      <c r="B37" s="376"/>
      <c r="C37" s="379" t="s">
        <v>77</v>
      </c>
      <c r="D37" s="380"/>
      <c r="E37" s="381" t="s">
        <v>389</v>
      </c>
      <c r="F37" s="382"/>
      <c r="G37" s="207" t="s">
        <v>26</v>
      </c>
      <c r="H37" s="60">
        <v>620636</v>
      </c>
      <c r="I37" s="56"/>
      <c r="J37" s="57"/>
      <c r="K37" s="57"/>
      <c r="L37" s="58">
        <f t="shared" si="0"/>
        <v>620636</v>
      </c>
    </row>
    <row r="38" spans="1:12" x14ac:dyDescent="0.25">
      <c r="A38" s="375">
        <v>1</v>
      </c>
      <c r="B38" s="376"/>
      <c r="C38" s="322">
        <v>7</v>
      </c>
      <c r="D38" s="324"/>
      <c r="E38" s="392" t="s">
        <v>184</v>
      </c>
      <c r="F38" s="393"/>
      <c r="G38" s="207" t="s">
        <v>26</v>
      </c>
      <c r="H38" s="60">
        <v>790426</v>
      </c>
      <c r="I38" s="56"/>
      <c r="J38" s="57"/>
      <c r="K38" s="57"/>
      <c r="L38" s="58">
        <f t="shared" si="0"/>
        <v>790426</v>
      </c>
    </row>
    <row r="39" spans="1:12" x14ac:dyDescent="0.25">
      <c r="A39" s="390">
        <v>46047</v>
      </c>
      <c r="B39" s="391"/>
      <c r="C39" s="322">
        <v>1</v>
      </c>
      <c r="D39" s="324"/>
      <c r="E39" s="392" t="s">
        <v>64</v>
      </c>
      <c r="F39" s="393"/>
      <c r="G39" s="211" t="s">
        <v>26</v>
      </c>
      <c r="H39" s="60">
        <v>2599981</v>
      </c>
      <c r="I39" s="190"/>
      <c r="J39" s="191"/>
      <c r="K39" s="192"/>
      <c r="L39" s="58">
        <f t="shared" si="0"/>
        <v>2599981</v>
      </c>
    </row>
    <row r="40" spans="1:12" x14ac:dyDescent="0.25">
      <c r="A40" s="322"/>
      <c r="B40" s="324"/>
      <c r="C40" s="61" t="s">
        <v>45</v>
      </c>
      <c r="D40" s="62"/>
      <c r="E40" s="62"/>
      <c r="F40" s="62"/>
      <c r="G40" s="62"/>
      <c r="H40" s="63">
        <f>SUM(H15:H39)</f>
        <v>22299000</v>
      </c>
      <c r="I40" s="334"/>
      <c r="J40" s="335"/>
      <c r="K40" s="336"/>
      <c r="L40" s="63">
        <f>SUM(L15:L39)</f>
        <v>22299000</v>
      </c>
    </row>
    <row r="41" spans="1:12" x14ac:dyDescent="0.25">
      <c r="A41" s="64"/>
      <c r="B41" s="38"/>
      <c r="C41" s="29"/>
      <c r="D41" s="30"/>
      <c r="E41" s="30"/>
      <c r="F41" s="30"/>
      <c r="G41" s="30"/>
      <c r="H41" s="31"/>
      <c r="I41" s="31"/>
      <c r="J41" s="31"/>
      <c r="K41" s="31"/>
      <c r="L41" s="32"/>
    </row>
    <row r="42" spans="1:12" x14ac:dyDescent="0.25">
      <c r="A42" s="48" t="s">
        <v>46</v>
      </c>
      <c r="B42" s="38"/>
      <c r="C42" s="29"/>
      <c r="D42" s="30"/>
      <c r="E42" s="30"/>
      <c r="F42" s="30"/>
      <c r="G42" s="30"/>
      <c r="H42" s="31"/>
      <c r="I42" s="31"/>
      <c r="J42" s="31"/>
      <c r="K42" s="31"/>
      <c r="L42" s="32"/>
    </row>
    <row r="43" spans="1:12" x14ac:dyDescent="0.25">
      <c r="A43" s="48"/>
      <c r="B43" s="30"/>
      <c r="C43" s="30"/>
      <c r="D43" s="30"/>
      <c r="E43" s="30"/>
      <c r="F43" s="30"/>
      <c r="G43" s="30"/>
      <c r="H43" s="31"/>
      <c r="I43" s="31"/>
      <c r="J43" s="31"/>
      <c r="K43" s="31"/>
      <c r="L43" s="32"/>
    </row>
    <row r="44" spans="1:12" x14ac:dyDescent="0.25">
      <c r="A44" s="357" t="s">
        <v>47</v>
      </c>
      <c r="B44" s="358"/>
      <c r="C44" s="363" t="s">
        <v>48</v>
      </c>
      <c r="D44" s="364"/>
      <c r="E44" s="357" t="s">
        <v>49</v>
      </c>
      <c r="F44" s="369"/>
      <c r="G44" s="369"/>
      <c r="H44" s="369"/>
      <c r="I44" s="369"/>
      <c r="J44" s="369"/>
      <c r="K44" s="358"/>
      <c r="L44" s="372" t="s">
        <v>50</v>
      </c>
    </row>
    <row r="45" spans="1:12" x14ac:dyDescent="0.25">
      <c r="A45" s="359"/>
      <c r="B45" s="360"/>
      <c r="C45" s="365"/>
      <c r="D45" s="366"/>
      <c r="E45" s="359"/>
      <c r="F45" s="370"/>
      <c r="G45" s="370"/>
      <c r="H45" s="370"/>
      <c r="I45" s="370"/>
      <c r="J45" s="370"/>
      <c r="K45" s="360"/>
      <c r="L45" s="373"/>
    </row>
    <row r="46" spans="1:12" x14ac:dyDescent="0.25">
      <c r="A46" s="361"/>
      <c r="B46" s="362"/>
      <c r="C46" s="367"/>
      <c r="D46" s="368"/>
      <c r="E46" s="361"/>
      <c r="F46" s="371"/>
      <c r="G46" s="371"/>
      <c r="H46" s="371"/>
      <c r="I46" s="371"/>
      <c r="J46" s="371"/>
      <c r="K46" s="362"/>
      <c r="L46" s="374"/>
    </row>
    <row r="47" spans="1:12" x14ac:dyDescent="0.25">
      <c r="A47" s="352">
        <v>46029</v>
      </c>
      <c r="B47" s="353"/>
      <c r="C47" s="322" t="s">
        <v>100</v>
      </c>
      <c r="D47" s="324"/>
      <c r="E47" s="354" t="s">
        <v>383</v>
      </c>
      <c r="F47" s="355"/>
      <c r="G47" s="355"/>
      <c r="H47" s="355"/>
      <c r="I47" s="355"/>
      <c r="J47" s="355"/>
      <c r="K47" s="356"/>
      <c r="L47" s="55">
        <v>40000</v>
      </c>
    </row>
    <row r="48" spans="1:12" s="33" customFormat="1" x14ac:dyDescent="0.25">
      <c r="A48" s="352">
        <v>46039</v>
      </c>
      <c r="B48" s="353"/>
      <c r="C48" s="322">
        <v>2967</v>
      </c>
      <c r="D48" s="324"/>
      <c r="E48" s="354" t="s">
        <v>395</v>
      </c>
      <c r="F48" s="355"/>
      <c r="G48" s="355"/>
      <c r="H48" s="355"/>
      <c r="I48" s="355"/>
      <c r="J48" s="355"/>
      <c r="K48" s="356"/>
      <c r="L48" s="55">
        <v>9565000</v>
      </c>
    </row>
    <row r="49" spans="1:13" s="33" customFormat="1" x14ac:dyDescent="0.25">
      <c r="A49" s="352">
        <v>46039</v>
      </c>
      <c r="B49" s="353"/>
      <c r="C49" s="322">
        <v>2968</v>
      </c>
      <c r="D49" s="324"/>
      <c r="E49" s="354" t="s">
        <v>397</v>
      </c>
      <c r="F49" s="355"/>
      <c r="G49" s="355"/>
      <c r="H49" s="355"/>
      <c r="I49" s="355"/>
      <c r="J49" s="355"/>
      <c r="K49" s="356"/>
      <c r="L49" s="55">
        <v>5964000</v>
      </c>
    </row>
    <row r="50" spans="1:13" s="33" customFormat="1" x14ac:dyDescent="0.25">
      <c r="A50" s="352">
        <v>46042</v>
      </c>
      <c r="B50" s="353"/>
      <c r="C50" s="322">
        <v>2973</v>
      </c>
      <c r="D50" s="324"/>
      <c r="E50" s="354" t="s">
        <v>399</v>
      </c>
      <c r="F50" s="355"/>
      <c r="G50" s="355"/>
      <c r="H50" s="355"/>
      <c r="I50" s="355"/>
      <c r="J50" s="355"/>
      <c r="K50" s="356"/>
      <c r="L50" s="55">
        <v>6730000</v>
      </c>
    </row>
    <row r="51" spans="1:13" s="33" customFormat="1" x14ac:dyDescent="0.25">
      <c r="A51" s="352"/>
      <c r="B51" s="353"/>
      <c r="C51" s="322"/>
      <c r="D51" s="324"/>
      <c r="E51" s="354"/>
      <c r="F51" s="355"/>
      <c r="G51" s="355"/>
      <c r="H51" s="355"/>
      <c r="I51" s="355"/>
      <c r="J51" s="355"/>
      <c r="K51" s="356"/>
      <c r="L51" s="55"/>
    </row>
    <row r="52" spans="1:13" s="33" customFormat="1" x14ac:dyDescent="0.25">
      <c r="A52" s="352"/>
      <c r="B52" s="353"/>
      <c r="C52" s="322"/>
      <c r="D52" s="324"/>
      <c r="E52" s="354"/>
      <c r="F52" s="355"/>
      <c r="G52" s="355"/>
      <c r="H52" s="355"/>
      <c r="I52" s="355"/>
      <c r="J52" s="355"/>
      <c r="K52" s="356"/>
      <c r="L52" s="55"/>
    </row>
    <row r="53" spans="1:13" s="33" customFormat="1" x14ac:dyDescent="0.25">
      <c r="A53" s="352"/>
      <c r="B53" s="353"/>
      <c r="C53" s="322"/>
      <c r="D53" s="324"/>
      <c r="E53" s="354"/>
      <c r="F53" s="355"/>
      <c r="G53" s="355"/>
      <c r="H53" s="355"/>
      <c r="I53" s="355"/>
      <c r="J53" s="355"/>
      <c r="K53" s="356"/>
      <c r="L53" s="55"/>
    </row>
    <row r="54" spans="1:13" x14ac:dyDescent="0.25">
      <c r="A54" s="352"/>
      <c r="B54" s="353"/>
      <c r="C54" s="322"/>
      <c r="D54" s="324"/>
      <c r="E54" s="354"/>
      <c r="F54" s="355"/>
      <c r="G54" s="355"/>
      <c r="H54" s="355"/>
      <c r="I54" s="355"/>
      <c r="J54" s="355"/>
      <c r="K54" s="356"/>
      <c r="L54" s="55"/>
      <c r="M54" s="33"/>
    </row>
    <row r="55" spans="1:13" x14ac:dyDescent="0.25">
      <c r="A55" s="334" t="s">
        <v>51</v>
      </c>
      <c r="B55" s="335"/>
      <c r="C55" s="335"/>
      <c r="D55" s="335"/>
      <c r="E55" s="335"/>
      <c r="F55" s="335"/>
      <c r="G55" s="335"/>
      <c r="H55" s="335"/>
      <c r="I55" s="335"/>
      <c r="J55" s="335"/>
      <c r="K55" s="336"/>
      <c r="L55" s="63">
        <f>SUM(L47:L54)</f>
        <v>22299000</v>
      </c>
    </row>
    <row r="56" spans="1:13" x14ac:dyDescent="0.25">
      <c r="A56" s="65"/>
      <c r="B56" s="66"/>
      <c r="C56" s="66"/>
      <c r="D56" s="66"/>
      <c r="E56" s="66"/>
      <c r="F56" s="66"/>
      <c r="G56" s="66"/>
      <c r="H56" s="31"/>
      <c r="I56" s="31"/>
      <c r="J56" s="31"/>
      <c r="K56" s="31"/>
      <c r="L56" s="31"/>
    </row>
    <row r="57" spans="1:13" x14ac:dyDescent="0.25">
      <c r="A57" s="48" t="s">
        <v>52</v>
      </c>
      <c r="B57" s="30"/>
      <c r="C57" s="30"/>
      <c r="D57" s="30"/>
      <c r="E57" s="30"/>
      <c r="F57" s="30"/>
      <c r="G57" s="30"/>
      <c r="H57" s="31"/>
      <c r="I57" s="31"/>
      <c r="J57" s="31"/>
      <c r="K57" s="31"/>
      <c r="L57" s="31"/>
    </row>
    <row r="58" spans="1:13" x14ac:dyDescent="0.25">
      <c r="A58" s="44"/>
      <c r="B58" s="45"/>
      <c r="C58" s="45"/>
      <c r="D58" s="45"/>
      <c r="E58" s="45"/>
      <c r="F58" s="45"/>
      <c r="G58" s="45"/>
      <c r="H58" s="31"/>
      <c r="I58" s="31"/>
      <c r="J58" s="46"/>
      <c r="K58" s="46"/>
      <c r="L58" s="31"/>
    </row>
    <row r="59" spans="1:13" x14ac:dyDescent="0.25">
      <c r="A59" s="337" t="s">
        <v>53</v>
      </c>
      <c r="B59" s="338"/>
      <c r="C59" s="337" t="s">
        <v>54</v>
      </c>
      <c r="D59" s="338"/>
      <c r="E59" s="203" t="s">
        <v>55</v>
      </c>
      <c r="F59" s="68" t="s">
        <v>37</v>
      </c>
      <c r="G59" s="339"/>
      <c r="H59" s="340"/>
      <c r="I59" s="340"/>
      <c r="J59" s="340"/>
      <c r="K59" s="341"/>
      <c r="L59" s="348" t="s">
        <v>56</v>
      </c>
    </row>
    <row r="60" spans="1:13" x14ac:dyDescent="0.25">
      <c r="A60" s="316"/>
      <c r="B60" s="317"/>
      <c r="C60" s="350" t="s">
        <v>57</v>
      </c>
      <c r="D60" s="351"/>
      <c r="E60" s="69"/>
      <c r="F60" s="44"/>
      <c r="G60" s="342"/>
      <c r="H60" s="343"/>
      <c r="I60" s="343"/>
      <c r="J60" s="343"/>
      <c r="K60" s="344"/>
      <c r="L60" s="349"/>
    </row>
    <row r="61" spans="1:13" x14ac:dyDescent="0.25">
      <c r="A61" s="310"/>
      <c r="B61" s="312"/>
      <c r="C61" s="310"/>
      <c r="D61" s="312"/>
      <c r="E61" s="70"/>
      <c r="F61" s="206"/>
      <c r="G61" s="342"/>
      <c r="H61" s="343"/>
      <c r="I61" s="343"/>
      <c r="J61" s="343"/>
      <c r="K61" s="344"/>
      <c r="L61" s="55"/>
    </row>
    <row r="62" spans="1:13" x14ac:dyDescent="0.25">
      <c r="A62" s="310"/>
      <c r="B62" s="312"/>
      <c r="C62" s="310"/>
      <c r="D62" s="312"/>
      <c r="E62" s="70"/>
      <c r="F62" s="64"/>
      <c r="G62" s="345"/>
      <c r="H62" s="346"/>
      <c r="I62" s="346"/>
      <c r="J62" s="346"/>
      <c r="K62" s="347"/>
      <c r="L62" s="72"/>
    </row>
    <row r="63" spans="1:13" x14ac:dyDescent="0.25">
      <c r="A63" s="322" t="s">
        <v>41</v>
      </c>
      <c r="B63" s="323"/>
      <c r="C63" s="323"/>
      <c r="D63" s="323"/>
      <c r="E63" s="323"/>
      <c r="F63" s="323"/>
      <c r="G63" s="323"/>
      <c r="H63" s="323"/>
      <c r="I63" s="323"/>
      <c r="J63" s="323"/>
      <c r="K63" s="324"/>
      <c r="L63" s="73">
        <f>SUM(L61:L62)</f>
        <v>0</v>
      </c>
    </row>
    <row r="64" spans="1:13" x14ac:dyDescent="0.25">
      <c r="A64" s="325"/>
      <c r="B64" s="326"/>
      <c r="C64" s="326"/>
      <c r="D64" s="326"/>
      <c r="E64" s="326"/>
      <c r="F64" s="326"/>
      <c r="G64" s="326"/>
      <c r="H64" s="326"/>
      <c r="I64" s="326"/>
      <c r="J64" s="326"/>
      <c r="K64" s="326"/>
      <c r="L64" s="326"/>
    </row>
    <row r="65" spans="1:13" x14ac:dyDescent="0.25">
      <c r="A65" s="327" t="s">
        <v>58</v>
      </c>
      <c r="B65" s="328"/>
      <c r="C65" s="328"/>
      <c r="D65" s="328"/>
      <c r="E65" s="328"/>
      <c r="F65" s="328"/>
      <c r="G65" s="328"/>
      <c r="H65" s="328"/>
      <c r="I65" s="328"/>
      <c r="J65" s="329"/>
      <c r="K65" s="330">
        <f>K9+L40-L55-L63</f>
        <v>0</v>
      </c>
      <c r="L65" s="330"/>
    </row>
    <row r="66" spans="1:13" x14ac:dyDescent="0.25">
      <c r="A66" s="331"/>
      <c r="B66" s="332"/>
      <c r="C66" s="332"/>
      <c r="D66" s="332"/>
      <c r="E66" s="332"/>
      <c r="F66" s="332"/>
      <c r="G66" s="332"/>
      <c r="H66" s="332"/>
      <c r="I66" s="332"/>
      <c r="J66" s="332"/>
      <c r="K66" s="332"/>
      <c r="L66" s="333"/>
    </row>
    <row r="67" spans="1:13" x14ac:dyDescent="0.25">
      <c r="A67" s="305" t="s">
        <v>59</v>
      </c>
      <c r="B67" s="305"/>
      <c r="C67" s="305"/>
      <c r="D67" s="305"/>
      <c r="E67" s="305"/>
      <c r="F67" s="305" t="s">
        <v>60</v>
      </c>
      <c r="G67" s="305"/>
      <c r="H67" s="305"/>
      <c r="I67" s="306"/>
      <c r="J67" s="309" t="s">
        <v>61</v>
      </c>
      <c r="K67" s="309"/>
      <c r="L67" s="309"/>
    </row>
    <row r="68" spans="1:13" x14ac:dyDescent="0.25">
      <c r="A68" s="310"/>
      <c r="B68" s="311"/>
      <c r="C68" s="311"/>
      <c r="D68" s="311"/>
      <c r="E68" s="312"/>
      <c r="F68" s="310"/>
      <c r="G68" s="311"/>
      <c r="H68" s="312"/>
      <c r="I68" s="307"/>
      <c r="J68" s="313"/>
      <c r="K68" s="314"/>
      <c r="L68" s="315"/>
      <c r="M68" s="74"/>
    </row>
    <row r="69" spans="1:13" x14ac:dyDescent="0.25">
      <c r="A69" s="316"/>
      <c r="B69" s="317"/>
      <c r="C69" s="317"/>
      <c r="D69" s="317"/>
      <c r="E69" s="318"/>
      <c r="F69" s="316"/>
      <c r="G69" s="317"/>
      <c r="H69" s="318"/>
      <c r="I69" s="308"/>
      <c r="J69" s="319"/>
      <c r="K69" s="320"/>
      <c r="L69" s="321"/>
    </row>
    <row r="70" spans="1:13" x14ac:dyDescent="0.25">
      <c r="A70" s="33"/>
      <c r="B70" s="33"/>
      <c r="C70" s="33"/>
      <c r="D70" s="33"/>
      <c r="E70" s="33"/>
      <c r="F70" s="33"/>
      <c r="G70" s="33"/>
      <c r="H70" s="75"/>
      <c r="I70" s="75"/>
      <c r="J70" s="75"/>
      <c r="K70" s="75"/>
      <c r="L70" s="75"/>
    </row>
  </sheetData>
  <mergeCells count="143">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40:B40"/>
    <mergeCell ref="I40:K40"/>
    <mergeCell ref="A44:B46"/>
    <mergeCell ref="C44:D46"/>
    <mergeCell ref="E44:K46"/>
    <mergeCell ref="L44:L46"/>
    <mergeCell ref="A37:B37"/>
    <mergeCell ref="C37:D37"/>
    <mergeCell ref="E37:F37"/>
    <mergeCell ref="A38:B38"/>
    <mergeCell ref="C38:D38"/>
    <mergeCell ref="E38:F38"/>
    <mergeCell ref="A39:B39"/>
    <mergeCell ref="C39:D39"/>
    <mergeCell ref="E39:F39"/>
    <mergeCell ref="A49:B49"/>
    <mergeCell ref="C49:D49"/>
    <mergeCell ref="E49:K49"/>
    <mergeCell ref="A50:B50"/>
    <mergeCell ref="C50:D50"/>
    <mergeCell ref="E50:K50"/>
    <mergeCell ref="A47:B47"/>
    <mergeCell ref="C47:D47"/>
    <mergeCell ref="E47:K47"/>
    <mergeCell ref="A48:B48"/>
    <mergeCell ref="C48:D48"/>
    <mergeCell ref="E48:K48"/>
    <mergeCell ref="A53:B53"/>
    <mergeCell ref="C53:D53"/>
    <mergeCell ref="E53:K53"/>
    <mergeCell ref="A54:B54"/>
    <mergeCell ref="C54:D54"/>
    <mergeCell ref="E54:K54"/>
    <mergeCell ref="A51:B51"/>
    <mergeCell ref="C51:D51"/>
    <mergeCell ref="E51:K51"/>
    <mergeCell ref="A52:B52"/>
    <mergeCell ref="C52:D52"/>
    <mergeCell ref="E52:K52"/>
    <mergeCell ref="C62:D62"/>
    <mergeCell ref="A63:K63"/>
    <mergeCell ref="A64:L64"/>
    <mergeCell ref="A65:J65"/>
    <mergeCell ref="K65:L65"/>
    <mergeCell ref="A66:L66"/>
    <mergeCell ref="A55:K55"/>
    <mergeCell ref="A59:B59"/>
    <mergeCell ref="C59:D59"/>
    <mergeCell ref="G59:K62"/>
    <mergeCell ref="L59:L60"/>
    <mergeCell ref="A60:B60"/>
    <mergeCell ref="C60:D60"/>
    <mergeCell ref="A61:B61"/>
    <mergeCell ref="C61:D61"/>
    <mergeCell ref="A62:B62"/>
    <mergeCell ref="A67:E67"/>
    <mergeCell ref="F67:H67"/>
    <mergeCell ref="I67:I69"/>
    <mergeCell ref="J67:L67"/>
    <mergeCell ref="A68:E68"/>
    <mergeCell ref="F68:H68"/>
    <mergeCell ref="J68:L68"/>
    <mergeCell ref="A69:E69"/>
    <mergeCell ref="F69:H69"/>
    <mergeCell ref="J69:L6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topLeftCell="A34" workbookViewId="0">
      <selection activeCell="E34" sqref="E34:F34"/>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09" t="s">
        <v>27</v>
      </c>
      <c r="B6" s="214" t="s">
        <v>28</v>
      </c>
      <c r="C6" s="214" t="s">
        <v>29</v>
      </c>
      <c r="D6" s="30"/>
      <c r="E6" s="30"/>
      <c r="F6" s="30"/>
      <c r="G6" s="30"/>
      <c r="H6" s="31"/>
      <c r="I6" s="31"/>
      <c r="J6" s="31"/>
      <c r="K6" s="31"/>
      <c r="L6" s="32"/>
    </row>
    <row r="7" spans="1:12" x14ac:dyDescent="0.25">
      <c r="A7" s="41" t="s">
        <v>67</v>
      </c>
      <c r="B7" s="42" t="s">
        <v>355</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12" t="s">
        <v>40</v>
      </c>
      <c r="K13" s="212" t="s">
        <v>40</v>
      </c>
      <c r="L13" s="212" t="s">
        <v>41</v>
      </c>
    </row>
    <row r="14" spans="1:12" x14ac:dyDescent="0.25">
      <c r="A14" s="396"/>
      <c r="B14" s="397"/>
      <c r="C14" s="396"/>
      <c r="D14" s="397"/>
      <c r="E14" s="361"/>
      <c r="F14" s="362"/>
      <c r="G14" s="399"/>
      <c r="H14" s="399"/>
      <c r="I14" s="399"/>
      <c r="J14" s="213" t="s">
        <v>42</v>
      </c>
      <c r="K14" s="213" t="s">
        <v>43</v>
      </c>
      <c r="L14" s="213" t="s">
        <v>44</v>
      </c>
    </row>
    <row r="15" spans="1:12" x14ac:dyDescent="0.25">
      <c r="A15" s="385">
        <v>1</v>
      </c>
      <c r="B15" s="384"/>
      <c r="C15" s="386" t="s">
        <v>74</v>
      </c>
      <c r="D15" s="386"/>
      <c r="E15" s="383" t="s">
        <v>106</v>
      </c>
      <c r="F15" s="383"/>
      <c r="G15" s="59" t="s">
        <v>26</v>
      </c>
      <c r="H15" s="55">
        <v>418100</v>
      </c>
      <c r="I15" s="56"/>
      <c r="J15" s="57"/>
      <c r="K15" s="57"/>
      <c r="L15" s="58">
        <f t="shared" ref="L15:L38" si="0">H15</f>
        <v>418100</v>
      </c>
    </row>
    <row r="16" spans="1:12" x14ac:dyDescent="0.25">
      <c r="A16" s="385">
        <v>1</v>
      </c>
      <c r="B16" s="384"/>
      <c r="C16" s="386" t="s">
        <v>77</v>
      </c>
      <c r="D16" s="386"/>
      <c r="E16" s="383" t="s">
        <v>390</v>
      </c>
      <c r="F16" s="383"/>
      <c r="G16" s="59" t="s">
        <v>26</v>
      </c>
      <c r="H16" s="55">
        <v>440800</v>
      </c>
      <c r="I16" s="56"/>
      <c r="J16" s="57"/>
      <c r="K16" s="57"/>
      <c r="L16" s="58">
        <f t="shared" si="0"/>
        <v>440800</v>
      </c>
    </row>
    <row r="17" spans="1:12" x14ac:dyDescent="0.25">
      <c r="A17" s="387" t="s">
        <v>77</v>
      </c>
      <c r="B17" s="386"/>
      <c r="C17" s="386" t="s">
        <v>342</v>
      </c>
      <c r="D17" s="386"/>
      <c r="E17" s="388" t="s">
        <v>136</v>
      </c>
      <c r="F17" s="389"/>
      <c r="G17" s="211" t="s">
        <v>26</v>
      </c>
      <c r="H17" s="60">
        <v>656200</v>
      </c>
      <c r="I17" s="56"/>
      <c r="J17" s="57"/>
      <c r="K17" s="57"/>
      <c r="L17" s="58">
        <f t="shared" si="0"/>
        <v>656200</v>
      </c>
    </row>
    <row r="18" spans="1:12" x14ac:dyDescent="0.25">
      <c r="A18" s="387" t="s">
        <v>77</v>
      </c>
      <c r="B18" s="386"/>
      <c r="C18" s="384">
        <v>2</v>
      </c>
      <c r="D18" s="384"/>
      <c r="E18" s="388" t="s">
        <v>358</v>
      </c>
      <c r="F18" s="389"/>
      <c r="G18" s="211" t="s">
        <v>26</v>
      </c>
      <c r="H18" s="55">
        <v>1379900</v>
      </c>
      <c r="I18" s="56"/>
      <c r="J18" s="57"/>
      <c r="K18" s="57"/>
      <c r="L18" s="58">
        <f t="shared" si="0"/>
        <v>1379900</v>
      </c>
    </row>
    <row r="19" spans="1:12" x14ac:dyDescent="0.25">
      <c r="A19" s="387" t="s">
        <v>77</v>
      </c>
      <c r="B19" s="386"/>
      <c r="C19" s="384">
        <v>7</v>
      </c>
      <c r="D19" s="384"/>
      <c r="E19" s="388" t="s">
        <v>180</v>
      </c>
      <c r="F19" s="389"/>
      <c r="G19" s="211" t="s">
        <v>26</v>
      </c>
      <c r="H19" s="55">
        <v>600000</v>
      </c>
      <c r="I19" s="56"/>
      <c r="J19" s="57"/>
      <c r="K19" s="57"/>
      <c r="L19" s="58">
        <f t="shared" si="0"/>
        <v>600000</v>
      </c>
    </row>
    <row r="20" spans="1:12" x14ac:dyDescent="0.25">
      <c r="A20" s="387" t="s">
        <v>80</v>
      </c>
      <c r="B20" s="386"/>
      <c r="C20" s="379" t="s">
        <v>391</v>
      </c>
      <c r="D20" s="380"/>
      <c r="E20" s="392" t="s">
        <v>356</v>
      </c>
      <c r="F20" s="393"/>
      <c r="G20" s="211" t="s">
        <v>26</v>
      </c>
      <c r="H20" s="55">
        <v>2759800</v>
      </c>
      <c r="I20" s="56"/>
      <c r="J20" s="57"/>
      <c r="K20" s="57"/>
      <c r="L20" s="58">
        <f t="shared" si="0"/>
        <v>2759800</v>
      </c>
    </row>
    <row r="21" spans="1:12" x14ac:dyDescent="0.25">
      <c r="A21" s="385">
        <v>1</v>
      </c>
      <c r="B21" s="384"/>
      <c r="C21" s="386" t="s">
        <v>158</v>
      </c>
      <c r="D21" s="386"/>
      <c r="E21" s="383" t="s">
        <v>103</v>
      </c>
      <c r="F21" s="383"/>
      <c r="G21" s="59" t="s">
        <v>26</v>
      </c>
      <c r="H21" s="55">
        <v>1389700</v>
      </c>
      <c r="I21" s="56"/>
      <c r="J21" s="57"/>
      <c r="K21" s="57"/>
      <c r="L21" s="58">
        <f t="shared" si="0"/>
        <v>1389700</v>
      </c>
    </row>
    <row r="22" spans="1:12" x14ac:dyDescent="0.25">
      <c r="A22" s="375">
        <v>1</v>
      </c>
      <c r="B22" s="376"/>
      <c r="C22" s="322">
        <v>5</v>
      </c>
      <c r="D22" s="324"/>
      <c r="E22" s="383" t="s">
        <v>251</v>
      </c>
      <c r="F22" s="383"/>
      <c r="G22" s="59" t="s">
        <v>26</v>
      </c>
      <c r="H22" s="55">
        <v>789900</v>
      </c>
      <c r="I22" s="56"/>
      <c r="J22" s="57"/>
      <c r="K22" s="57"/>
      <c r="L22" s="58">
        <f t="shared" si="0"/>
        <v>789900</v>
      </c>
    </row>
    <row r="23" spans="1:12" x14ac:dyDescent="0.25">
      <c r="A23" s="375">
        <v>1</v>
      </c>
      <c r="B23" s="376"/>
      <c r="C23" s="384">
        <v>1</v>
      </c>
      <c r="D23" s="384"/>
      <c r="E23" s="383" t="s">
        <v>392</v>
      </c>
      <c r="F23" s="383"/>
      <c r="G23" s="59" t="s">
        <v>26</v>
      </c>
      <c r="H23" s="55">
        <v>588800</v>
      </c>
      <c r="I23" s="56"/>
      <c r="J23" s="57"/>
      <c r="K23" s="57"/>
      <c r="L23" s="58">
        <f t="shared" si="0"/>
        <v>588800</v>
      </c>
    </row>
    <row r="24" spans="1:12" x14ac:dyDescent="0.25">
      <c r="A24" s="375">
        <v>1</v>
      </c>
      <c r="B24" s="376"/>
      <c r="C24" s="379" t="s">
        <v>265</v>
      </c>
      <c r="D24" s="380"/>
      <c r="E24" s="392" t="s">
        <v>193</v>
      </c>
      <c r="F24" s="393"/>
      <c r="G24" s="59" t="s">
        <v>26</v>
      </c>
      <c r="H24" s="55">
        <v>904200</v>
      </c>
      <c r="I24" s="56"/>
      <c r="J24" s="57"/>
      <c r="K24" s="57"/>
      <c r="L24" s="58">
        <f t="shared" si="0"/>
        <v>904200</v>
      </c>
    </row>
    <row r="25" spans="1:12" x14ac:dyDescent="0.25">
      <c r="A25" s="375">
        <v>1</v>
      </c>
      <c r="B25" s="376"/>
      <c r="C25" s="379" t="s">
        <v>77</v>
      </c>
      <c r="D25" s="380"/>
      <c r="E25" s="381" t="s">
        <v>393</v>
      </c>
      <c r="F25" s="382"/>
      <c r="G25" s="59" t="s">
        <v>26</v>
      </c>
      <c r="H25" s="55">
        <v>965900</v>
      </c>
      <c r="I25" s="56"/>
      <c r="J25" s="57"/>
      <c r="K25" s="57"/>
      <c r="L25" s="58">
        <f t="shared" si="0"/>
        <v>965900</v>
      </c>
    </row>
    <row r="26" spans="1:12" x14ac:dyDescent="0.25">
      <c r="A26" s="375">
        <v>5</v>
      </c>
      <c r="B26" s="376"/>
      <c r="C26" s="379" t="s">
        <v>394</v>
      </c>
      <c r="D26" s="380"/>
      <c r="E26" s="381" t="s">
        <v>184</v>
      </c>
      <c r="F26" s="382"/>
      <c r="G26" s="59" t="s">
        <v>26</v>
      </c>
      <c r="H26" s="55">
        <v>3533421</v>
      </c>
      <c r="I26" s="56"/>
      <c r="J26" s="57"/>
      <c r="K26" s="57"/>
      <c r="L26" s="58">
        <f t="shared" si="0"/>
        <v>3533421</v>
      </c>
    </row>
    <row r="27" spans="1:12" x14ac:dyDescent="0.25">
      <c r="A27" s="375">
        <v>1</v>
      </c>
      <c r="B27" s="376"/>
      <c r="C27" s="322">
        <v>9</v>
      </c>
      <c r="D27" s="324"/>
      <c r="E27" s="381" t="s">
        <v>134</v>
      </c>
      <c r="F27" s="382"/>
      <c r="G27" s="211" t="s">
        <v>26</v>
      </c>
      <c r="H27" s="60">
        <v>317700</v>
      </c>
      <c r="I27" s="56"/>
      <c r="J27" s="57"/>
      <c r="K27" s="57"/>
      <c r="L27" s="58">
        <f t="shared" si="0"/>
        <v>317700</v>
      </c>
    </row>
    <row r="28" spans="1:12" x14ac:dyDescent="0.25">
      <c r="A28" s="375">
        <v>1</v>
      </c>
      <c r="B28" s="376"/>
      <c r="C28" s="322">
        <v>3</v>
      </c>
      <c r="D28" s="324"/>
      <c r="E28" s="383" t="s">
        <v>305</v>
      </c>
      <c r="F28" s="383"/>
      <c r="G28" s="211" t="s">
        <v>26</v>
      </c>
      <c r="H28" s="60">
        <v>1526600</v>
      </c>
      <c r="I28" s="56"/>
      <c r="J28" s="57"/>
      <c r="K28" s="57"/>
      <c r="L28" s="58">
        <f t="shared" si="0"/>
        <v>1526600</v>
      </c>
    </row>
    <row r="29" spans="1:12" x14ac:dyDescent="0.25">
      <c r="A29" s="375">
        <v>1</v>
      </c>
      <c r="B29" s="376"/>
      <c r="C29" s="379" t="s">
        <v>80</v>
      </c>
      <c r="D29" s="380"/>
      <c r="E29" s="377" t="s">
        <v>310</v>
      </c>
      <c r="F29" s="378"/>
      <c r="G29" s="211" t="s">
        <v>26</v>
      </c>
      <c r="H29" s="60">
        <v>441300</v>
      </c>
      <c r="I29" s="56"/>
      <c r="J29" s="57"/>
      <c r="K29" s="57"/>
      <c r="L29" s="58">
        <f t="shared" si="0"/>
        <v>441300</v>
      </c>
    </row>
    <row r="30" spans="1:12" x14ac:dyDescent="0.25">
      <c r="A30" s="375">
        <v>1</v>
      </c>
      <c r="B30" s="376"/>
      <c r="C30" s="411" t="s">
        <v>77</v>
      </c>
      <c r="D30" s="412"/>
      <c r="E30" s="381" t="s">
        <v>402</v>
      </c>
      <c r="F30" s="382"/>
      <c r="G30" s="211" t="s">
        <v>26</v>
      </c>
      <c r="H30" s="60">
        <v>1091100</v>
      </c>
      <c r="I30" s="56"/>
      <c r="J30" s="57"/>
      <c r="K30" s="57"/>
      <c r="L30" s="58">
        <f t="shared" si="0"/>
        <v>1091100</v>
      </c>
    </row>
    <row r="31" spans="1:12" x14ac:dyDescent="0.25">
      <c r="A31" s="375">
        <v>1</v>
      </c>
      <c r="B31" s="376"/>
      <c r="C31" s="375">
        <v>4</v>
      </c>
      <c r="D31" s="376"/>
      <c r="E31" s="381" t="s">
        <v>286</v>
      </c>
      <c r="F31" s="382"/>
      <c r="G31" s="211" t="s">
        <v>26</v>
      </c>
      <c r="H31" s="60">
        <v>1007800</v>
      </c>
      <c r="I31" s="56"/>
      <c r="J31" s="57"/>
      <c r="K31" s="57"/>
      <c r="L31" s="58">
        <f t="shared" si="0"/>
        <v>1007800</v>
      </c>
    </row>
    <row r="32" spans="1:12" x14ac:dyDescent="0.25">
      <c r="A32" s="375">
        <v>1</v>
      </c>
      <c r="B32" s="376"/>
      <c r="C32" s="375">
        <v>2</v>
      </c>
      <c r="D32" s="376"/>
      <c r="E32" s="381" t="s">
        <v>359</v>
      </c>
      <c r="F32" s="382"/>
      <c r="G32" s="211" t="s">
        <v>26</v>
      </c>
      <c r="H32" s="60">
        <v>365300</v>
      </c>
      <c r="I32" s="56"/>
      <c r="J32" s="57"/>
      <c r="K32" s="57"/>
      <c r="L32" s="58">
        <f t="shared" si="0"/>
        <v>365300</v>
      </c>
    </row>
    <row r="33" spans="1:12" x14ac:dyDescent="0.25">
      <c r="A33" s="375">
        <v>1</v>
      </c>
      <c r="B33" s="376"/>
      <c r="C33" s="375">
        <v>6</v>
      </c>
      <c r="D33" s="376"/>
      <c r="E33" s="381" t="s">
        <v>314</v>
      </c>
      <c r="F33" s="382"/>
      <c r="G33" s="211" t="s">
        <v>26</v>
      </c>
      <c r="H33" s="60">
        <v>1386300</v>
      </c>
      <c r="I33" s="56"/>
      <c r="J33" s="57"/>
      <c r="K33" s="57"/>
      <c r="L33" s="58">
        <f t="shared" si="0"/>
        <v>1386300</v>
      </c>
    </row>
    <row r="34" spans="1:12" x14ac:dyDescent="0.25">
      <c r="A34" s="375">
        <v>1</v>
      </c>
      <c r="B34" s="376"/>
      <c r="C34" s="411" t="s">
        <v>80</v>
      </c>
      <c r="D34" s="412"/>
      <c r="E34" s="381" t="s">
        <v>403</v>
      </c>
      <c r="F34" s="382"/>
      <c r="G34" s="211" t="s">
        <v>240</v>
      </c>
      <c r="H34" s="60">
        <v>1360600</v>
      </c>
      <c r="I34" s="56"/>
      <c r="J34" s="57"/>
      <c r="K34" s="57"/>
      <c r="L34" s="58">
        <f t="shared" si="0"/>
        <v>1360600</v>
      </c>
    </row>
    <row r="35" spans="1:12" x14ac:dyDescent="0.25">
      <c r="A35" s="375"/>
      <c r="B35" s="376"/>
      <c r="C35" s="375"/>
      <c r="D35" s="376"/>
      <c r="E35" s="381"/>
      <c r="F35" s="382"/>
      <c r="G35" s="211"/>
      <c r="H35" s="60"/>
      <c r="I35" s="56"/>
      <c r="J35" s="57"/>
      <c r="K35" s="57"/>
      <c r="L35" s="58">
        <f t="shared" si="0"/>
        <v>0</v>
      </c>
    </row>
    <row r="36" spans="1:12" x14ac:dyDescent="0.25">
      <c r="A36" s="375"/>
      <c r="B36" s="376"/>
      <c r="C36" s="411"/>
      <c r="D36" s="412"/>
      <c r="E36" s="381"/>
      <c r="F36" s="382"/>
      <c r="G36" s="211"/>
      <c r="H36" s="60"/>
      <c r="I36" s="56"/>
      <c r="J36" s="57"/>
      <c r="K36" s="57"/>
      <c r="L36" s="58">
        <f t="shared" si="0"/>
        <v>0</v>
      </c>
    </row>
    <row r="37" spans="1:12" x14ac:dyDescent="0.25">
      <c r="A37" s="375"/>
      <c r="B37" s="376"/>
      <c r="C37" s="379"/>
      <c r="D37" s="380"/>
      <c r="E37" s="381"/>
      <c r="F37" s="382"/>
      <c r="G37" s="211"/>
      <c r="H37" s="60"/>
      <c r="I37" s="56"/>
      <c r="J37" s="57"/>
      <c r="K37" s="57"/>
      <c r="L37" s="58">
        <f t="shared" si="0"/>
        <v>0</v>
      </c>
    </row>
    <row r="38" spans="1:12" x14ac:dyDescent="0.25">
      <c r="A38" s="375"/>
      <c r="B38" s="376"/>
      <c r="C38" s="322"/>
      <c r="D38" s="324"/>
      <c r="E38" s="392"/>
      <c r="F38" s="393"/>
      <c r="G38" s="211"/>
      <c r="H38" s="60"/>
      <c r="I38" s="56"/>
      <c r="J38" s="57"/>
      <c r="K38" s="57"/>
      <c r="L38" s="58">
        <f t="shared" si="0"/>
        <v>0</v>
      </c>
    </row>
    <row r="39" spans="1:12" x14ac:dyDescent="0.25">
      <c r="A39" s="322"/>
      <c r="B39" s="324"/>
      <c r="C39" s="61" t="s">
        <v>45</v>
      </c>
      <c r="D39" s="62"/>
      <c r="E39" s="62"/>
      <c r="F39" s="62"/>
      <c r="G39" s="62"/>
      <c r="H39" s="63">
        <f>SUM(H15:H38)</f>
        <v>21923421</v>
      </c>
      <c r="I39" s="334"/>
      <c r="J39" s="335"/>
      <c r="K39" s="336"/>
      <c r="L39" s="63">
        <f>SUM(L15:L38)</f>
        <v>21923421</v>
      </c>
    </row>
    <row r="40" spans="1:12" x14ac:dyDescent="0.25">
      <c r="A40" s="64"/>
      <c r="B40" s="38"/>
      <c r="C40" s="29"/>
      <c r="D40" s="30"/>
      <c r="E40" s="30"/>
      <c r="F40" s="30"/>
      <c r="G40" s="30"/>
      <c r="H40" s="31"/>
      <c r="I40" s="31"/>
      <c r="J40" s="31"/>
      <c r="K40" s="31"/>
      <c r="L40" s="32"/>
    </row>
    <row r="41" spans="1:12" x14ac:dyDescent="0.25">
      <c r="A41" s="48" t="s">
        <v>46</v>
      </c>
      <c r="B41" s="38"/>
      <c r="C41" s="29"/>
      <c r="D41" s="30"/>
      <c r="E41" s="30"/>
      <c r="F41" s="30"/>
      <c r="G41" s="30"/>
      <c r="H41" s="31"/>
      <c r="I41" s="31"/>
      <c r="J41" s="31"/>
      <c r="K41" s="31"/>
      <c r="L41" s="32"/>
    </row>
    <row r="42" spans="1:12" x14ac:dyDescent="0.25">
      <c r="A42" s="48"/>
      <c r="B42" s="30"/>
      <c r="C42" s="30"/>
      <c r="D42" s="30"/>
      <c r="E42" s="30"/>
      <c r="F42" s="30"/>
      <c r="G42" s="30"/>
      <c r="H42" s="31"/>
      <c r="I42" s="31"/>
      <c r="J42" s="31"/>
      <c r="K42" s="31"/>
      <c r="L42" s="32"/>
    </row>
    <row r="43" spans="1:12" x14ac:dyDescent="0.25">
      <c r="A43" s="357" t="s">
        <v>47</v>
      </c>
      <c r="B43" s="358"/>
      <c r="C43" s="363" t="s">
        <v>48</v>
      </c>
      <c r="D43" s="364"/>
      <c r="E43" s="357" t="s">
        <v>49</v>
      </c>
      <c r="F43" s="369"/>
      <c r="G43" s="369"/>
      <c r="H43" s="369"/>
      <c r="I43" s="369"/>
      <c r="J43" s="369"/>
      <c r="K43" s="358"/>
      <c r="L43" s="372" t="s">
        <v>50</v>
      </c>
    </row>
    <row r="44" spans="1:12" x14ac:dyDescent="0.25">
      <c r="A44" s="359"/>
      <c r="B44" s="360"/>
      <c r="C44" s="365"/>
      <c r="D44" s="366"/>
      <c r="E44" s="359"/>
      <c r="F44" s="370"/>
      <c r="G44" s="370"/>
      <c r="H44" s="370"/>
      <c r="I44" s="370"/>
      <c r="J44" s="370"/>
      <c r="K44" s="360"/>
      <c r="L44" s="373"/>
    </row>
    <row r="45" spans="1:12" x14ac:dyDescent="0.25">
      <c r="A45" s="361"/>
      <c r="B45" s="362"/>
      <c r="C45" s="367"/>
      <c r="D45" s="368"/>
      <c r="E45" s="361"/>
      <c r="F45" s="371"/>
      <c r="G45" s="371"/>
      <c r="H45" s="371"/>
      <c r="I45" s="371"/>
      <c r="J45" s="371"/>
      <c r="K45" s="362"/>
      <c r="L45" s="374"/>
    </row>
    <row r="46" spans="1:12" x14ac:dyDescent="0.25">
      <c r="A46" s="352">
        <v>46045</v>
      </c>
      <c r="B46" s="353"/>
      <c r="C46" s="322" t="s">
        <v>100</v>
      </c>
      <c r="D46" s="324"/>
      <c r="E46" s="354" t="s">
        <v>401</v>
      </c>
      <c r="F46" s="355"/>
      <c r="G46" s="355"/>
      <c r="H46" s="355"/>
      <c r="I46" s="355"/>
      <c r="J46" s="355"/>
      <c r="K46" s="356"/>
      <c r="L46" s="55">
        <v>140000</v>
      </c>
    </row>
    <row r="47" spans="1:12" s="33" customFormat="1" x14ac:dyDescent="0.25">
      <c r="A47" s="352">
        <v>46048</v>
      </c>
      <c r="B47" s="353"/>
      <c r="C47" s="322" t="s">
        <v>100</v>
      </c>
      <c r="D47" s="324"/>
      <c r="E47" s="354" t="s">
        <v>244</v>
      </c>
      <c r="F47" s="355"/>
      <c r="G47" s="355"/>
      <c r="H47" s="355"/>
      <c r="I47" s="355"/>
      <c r="J47" s="355"/>
      <c r="K47" s="356"/>
      <c r="L47" s="55">
        <v>21783421</v>
      </c>
    </row>
    <row r="48" spans="1:12" s="33" customFormat="1" x14ac:dyDescent="0.25">
      <c r="A48" s="352"/>
      <c r="B48" s="353"/>
      <c r="C48" s="322"/>
      <c r="D48" s="324"/>
      <c r="E48" s="354"/>
      <c r="F48" s="355"/>
      <c r="G48" s="355"/>
      <c r="H48" s="355"/>
      <c r="I48" s="355"/>
      <c r="J48" s="355"/>
      <c r="K48" s="356"/>
      <c r="L48" s="55"/>
    </row>
    <row r="49" spans="1:13" s="33" customFormat="1" x14ac:dyDescent="0.25">
      <c r="A49" s="352"/>
      <c r="B49" s="353"/>
      <c r="C49" s="322"/>
      <c r="D49" s="324"/>
      <c r="E49" s="354"/>
      <c r="F49" s="355"/>
      <c r="G49" s="355"/>
      <c r="H49" s="355"/>
      <c r="I49" s="355"/>
      <c r="J49" s="355"/>
      <c r="K49" s="356"/>
      <c r="L49" s="55"/>
    </row>
    <row r="50" spans="1:13" s="33" customFormat="1" x14ac:dyDescent="0.25">
      <c r="A50" s="352"/>
      <c r="B50" s="353"/>
      <c r="C50" s="322"/>
      <c r="D50" s="324"/>
      <c r="E50" s="354"/>
      <c r="F50" s="355"/>
      <c r="G50" s="355"/>
      <c r="H50" s="355"/>
      <c r="I50" s="355"/>
      <c r="J50" s="355"/>
      <c r="K50" s="356"/>
      <c r="L50" s="55"/>
    </row>
    <row r="51" spans="1:13" s="33" customFormat="1" x14ac:dyDescent="0.25">
      <c r="A51" s="352"/>
      <c r="B51" s="353"/>
      <c r="C51" s="322"/>
      <c r="D51" s="324"/>
      <c r="E51" s="354"/>
      <c r="F51" s="355"/>
      <c r="G51" s="355"/>
      <c r="H51" s="355"/>
      <c r="I51" s="355"/>
      <c r="J51" s="355"/>
      <c r="K51" s="356"/>
      <c r="L51" s="55"/>
    </row>
    <row r="52" spans="1:13" s="33" customFormat="1" x14ac:dyDescent="0.25">
      <c r="A52" s="352"/>
      <c r="B52" s="353"/>
      <c r="C52" s="322"/>
      <c r="D52" s="324"/>
      <c r="E52" s="354"/>
      <c r="F52" s="355"/>
      <c r="G52" s="355"/>
      <c r="H52" s="355"/>
      <c r="I52" s="355"/>
      <c r="J52" s="355"/>
      <c r="K52" s="356"/>
      <c r="L52" s="55"/>
    </row>
    <row r="53" spans="1:13" x14ac:dyDescent="0.25">
      <c r="A53" s="352"/>
      <c r="B53" s="353"/>
      <c r="C53" s="322"/>
      <c r="D53" s="324"/>
      <c r="E53" s="354"/>
      <c r="F53" s="355"/>
      <c r="G53" s="355"/>
      <c r="H53" s="355"/>
      <c r="I53" s="355"/>
      <c r="J53" s="355"/>
      <c r="K53" s="356"/>
      <c r="L53" s="55"/>
      <c r="M53" s="33"/>
    </row>
    <row r="54" spans="1:13" x14ac:dyDescent="0.25">
      <c r="A54" s="334" t="s">
        <v>51</v>
      </c>
      <c r="B54" s="335"/>
      <c r="C54" s="335"/>
      <c r="D54" s="335"/>
      <c r="E54" s="335"/>
      <c r="F54" s="335"/>
      <c r="G54" s="335"/>
      <c r="H54" s="335"/>
      <c r="I54" s="335"/>
      <c r="J54" s="335"/>
      <c r="K54" s="336"/>
      <c r="L54" s="63">
        <f>SUM(L46:L53)</f>
        <v>21923421</v>
      </c>
    </row>
    <row r="55" spans="1:13" x14ac:dyDescent="0.25">
      <c r="A55" s="65"/>
      <c r="B55" s="66"/>
      <c r="C55" s="66"/>
      <c r="D55" s="66"/>
      <c r="E55" s="66"/>
      <c r="F55" s="66"/>
      <c r="G55" s="66"/>
      <c r="H55" s="31"/>
      <c r="I55" s="31"/>
      <c r="J55" s="31"/>
      <c r="K55" s="31"/>
      <c r="L55" s="31"/>
    </row>
    <row r="56" spans="1:13" x14ac:dyDescent="0.25">
      <c r="A56" s="48" t="s">
        <v>52</v>
      </c>
      <c r="B56" s="30"/>
      <c r="C56" s="30"/>
      <c r="D56" s="30"/>
      <c r="E56" s="30"/>
      <c r="F56" s="30"/>
      <c r="G56" s="30"/>
      <c r="H56" s="31"/>
      <c r="I56" s="31"/>
      <c r="J56" s="31"/>
      <c r="K56" s="31"/>
      <c r="L56" s="31"/>
    </row>
    <row r="57" spans="1:13" x14ac:dyDescent="0.25">
      <c r="A57" s="44"/>
      <c r="B57" s="45"/>
      <c r="C57" s="45"/>
      <c r="D57" s="45"/>
      <c r="E57" s="45"/>
      <c r="F57" s="45"/>
      <c r="G57" s="45"/>
      <c r="H57" s="31"/>
      <c r="I57" s="31"/>
      <c r="J57" s="46"/>
      <c r="K57" s="46"/>
      <c r="L57" s="31"/>
    </row>
    <row r="58" spans="1:13" x14ac:dyDescent="0.25">
      <c r="A58" s="337" t="s">
        <v>53</v>
      </c>
      <c r="B58" s="338"/>
      <c r="C58" s="337" t="s">
        <v>54</v>
      </c>
      <c r="D58" s="338"/>
      <c r="E58" s="208" t="s">
        <v>55</v>
      </c>
      <c r="F58" s="68" t="s">
        <v>37</v>
      </c>
      <c r="G58" s="339"/>
      <c r="H58" s="340"/>
      <c r="I58" s="340"/>
      <c r="J58" s="340"/>
      <c r="K58" s="341"/>
      <c r="L58" s="348" t="s">
        <v>56</v>
      </c>
    </row>
    <row r="59" spans="1:13" x14ac:dyDescent="0.25">
      <c r="A59" s="316"/>
      <c r="B59" s="317"/>
      <c r="C59" s="350" t="s">
        <v>57</v>
      </c>
      <c r="D59" s="351"/>
      <c r="E59" s="69"/>
      <c r="F59" s="44"/>
      <c r="G59" s="342"/>
      <c r="H59" s="343"/>
      <c r="I59" s="343"/>
      <c r="J59" s="343"/>
      <c r="K59" s="344"/>
      <c r="L59" s="349"/>
    </row>
    <row r="60" spans="1:13" x14ac:dyDescent="0.25">
      <c r="A60" s="310"/>
      <c r="B60" s="312"/>
      <c r="C60" s="310"/>
      <c r="D60" s="312"/>
      <c r="E60" s="70"/>
      <c r="F60" s="210"/>
      <c r="G60" s="342"/>
      <c r="H60" s="343"/>
      <c r="I60" s="343"/>
      <c r="J60" s="343"/>
      <c r="K60" s="344"/>
      <c r="L60" s="55"/>
    </row>
    <row r="61" spans="1:13" x14ac:dyDescent="0.25">
      <c r="A61" s="310"/>
      <c r="B61" s="312"/>
      <c r="C61" s="310"/>
      <c r="D61" s="312"/>
      <c r="E61" s="70"/>
      <c r="F61" s="64"/>
      <c r="G61" s="345"/>
      <c r="H61" s="346"/>
      <c r="I61" s="346"/>
      <c r="J61" s="346"/>
      <c r="K61" s="347"/>
      <c r="L61" s="72"/>
    </row>
    <row r="62" spans="1:13" x14ac:dyDescent="0.25">
      <c r="A62" s="322" t="s">
        <v>41</v>
      </c>
      <c r="B62" s="323"/>
      <c r="C62" s="323"/>
      <c r="D62" s="323"/>
      <c r="E62" s="323"/>
      <c r="F62" s="323"/>
      <c r="G62" s="323"/>
      <c r="H62" s="323"/>
      <c r="I62" s="323"/>
      <c r="J62" s="323"/>
      <c r="K62" s="324"/>
      <c r="L62" s="73">
        <f>SUM(L60:L61)</f>
        <v>0</v>
      </c>
    </row>
    <row r="63" spans="1:13" x14ac:dyDescent="0.25">
      <c r="A63" s="325"/>
      <c r="B63" s="326"/>
      <c r="C63" s="326"/>
      <c r="D63" s="326"/>
      <c r="E63" s="326"/>
      <c r="F63" s="326"/>
      <c r="G63" s="326"/>
      <c r="H63" s="326"/>
      <c r="I63" s="326"/>
      <c r="J63" s="326"/>
      <c r="K63" s="326"/>
      <c r="L63" s="326"/>
    </row>
    <row r="64" spans="1:13" x14ac:dyDescent="0.25">
      <c r="A64" s="327" t="s">
        <v>58</v>
      </c>
      <c r="B64" s="328"/>
      <c r="C64" s="328"/>
      <c r="D64" s="328"/>
      <c r="E64" s="328"/>
      <c r="F64" s="328"/>
      <c r="G64" s="328"/>
      <c r="H64" s="328"/>
      <c r="I64" s="328"/>
      <c r="J64" s="329"/>
      <c r="K64" s="330">
        <f>K9+L39-L54-L62</f>
        <v>0</v>
      </c>
      <c r="L64" s="330"/>
    </row>
    <row r="65" spans="1:13" x14ac:dyDescent="0.25">
      <c r="A65" s="331"/>
      <c r="B65" s="332"/>
      <c r="C65" s="332"/>
      <c r="D65" s="332"/>
      <c r="E65" s="332"/>
      <c r="F65" s="332"/>
      <c r="G65" s="332"/>
      <c r="H65" s="332"/>
      <c r="I65" s="332"/>
      <c r="J65" s="332"/>
      <c r="K65" s="332"/>
      <c r="L65" s="333"/>
    </row>
    <row r="66" spans="1:13" x14ac:dyDescent="0.25">
      <c r="A66" s="305" t="s">
        <v>59</v>
      </c>
      <c r="B66" s="305"/>
      <c r="C66" s="305"/>
      <c r="D66" s="305"/>
      <c r="E66" s="305"/>
      <c r="F66" s="305" t="s">
        <v>60</v>
      </c>
      <c r="G66" s="305"/>
      <c r="H66" s="305"/>
      <c r="I66" s="306"/>
      <c r="J66" s="309" t="s">
        <v>61</v>
      </c>
      <c r="K66" s="309"/>
      <c r="L66" s="309"/>
    </row>
    <row r="67" spans="1:13" x14ac:dyDescent="0.25">
      <c r="A67" s="310"/>
      <c r="B67" s="311"/>
      <c r="C67" s="311"/>
      <c r="D67" s="311"/>
      <c r="E67" s="312"/>
      <c r="F67" s="310"/>
      <c r="G67" s="311"/>
      <c r="H67" s="312"/>
      <c r="I67" s="307"/>
      <c r="J67" s="313"/>
      <c r="K67" s="314"/>
      <c r="L67" s="315"/>
      <c r="M67" s="74"/>
    </row>
    <row r="68" spans="1:13" x14ac:dyDescent="0.25">
      <c r="A68" s="316"/>
      <c r="B68" s="317"/>
      <c r="C68" s="317"/>
      <c r="D68" s="317"/>
      <c r="E68" s="318"/>
      <c r="F68" s="316"/>
      <c r="G68" s="317"/>
      <c r="H68" s="318"/>
      <c r="I68" s="308"/>
      <c r="J68" s="319"/>
      <c r="K68" s="320"/>
      <c r="L68" s="321"/>
    </row>
    <row r="69" spans="1:13" x14ac:dyDescent="0.25">
      <c r="A69" s="33"/>
      <c r="B69" s="33"/>
      <c r="C69" s="33"/>
      <c r="D69" s="33"/>
      <c r="E69" s="33"/>
      <c r="F69" s="33"/>
      <c r="G69" s="33"/>
      <c r="H69" s="75"/>
      <c r="I69" s="75"/>
      <c r="J69" s="75"/>
      <c r="K69" s="75"/>
      <c r="L69" s="75"/>
    </row>
  </sheetData>
  <mergeCells count="140">
    <mergeCell ref="A66:E66"/>
    <mergeCell ref="F66:H66"/>
    <mergeCell ref="I66:I68"/>
    <mergeCell ref="J66:L66"/>
    <mergeCell ref="A67:E67"/>
    <mergeCell ref="F67:H67"/>
    <mergeCell ref="J67:L67"/>
    <mergeCell ref="A68:E68"/>
    <mergeCell ref="F68:H68"/>
    <mergeCell ref="J68:L68"/>
    <mergeCell ref="C61:D61"/>
    <mergeCell ref="A62:K62"/>
    <mergeCell ref="A63:L63"/>
    <mergeCell ref="A64:J64"/>
    <mergeCell ref="K64:L64"/>
    <mergeCell ref="A65:L65"/>
    <mergeCell ref="A54:K54"/>
    <mergeCell ref="A58:B58"/>
    <mergeCell ref="C58:D58"/>
    <mergeCell ref="G58:K61"/>
    <mergeCell ref="L58:L59"/>
    <mergeCell ref="A59:B59"/>
    <mergeCell ref="C59:D59"/>
    <mergeCell ref="A60:B60"/>
    <mergeCell ref="C60:D60"/>
    <mergeCell ref="A61:B61"/>
    <mergeCell ref="A52:B52"/>
    <mergeCell ref="C52:D52"/>
    <mergeCell ref="E52:K52"/>
    <mergeCell ref="A53:B53"/>
    <mergeCell ref="C53:D53"/>
    <mergeCell ref="E53:K53"/>
    <mergeCell ref="A50:B50"/>
    <mergeCell ref="C50:D50"/>
    <mergeCell ref="E50:K50"/>
    <mergeCell ref="A51:B51"/>
    <mergeCell ref="C51:D51"/>
    <mergeCell ref="E51:K51"/>
    <mergeCell ref="A48:B48"/>
    <mergeCell ref="C48:D48"/>
    <mergeCell ref="E48:K48"/>
    <mergeCell ref="A49:B49"/>
    <mergeCell ref="C49:D49"/>
    <mergeCell ref="E49:K49"/>
    <mergeCell ref="A46:B46"/>
    <mergeCell ref="C46:D46"/>
    <mergeCell ref="E46:K46"/>
    <mergeCell ref="A47:B47"/>
    <mergeCell ref="C47:D47"/>
    <mergeCell ref="E47:K47"/>
    <mergeCell ref="A39:B39"/>
    <mergeCell ref="I39:K39"/>
    <mergeCell ref="A43:B45"/>
    <mergeCell ref="C43:D45"/>
    <mergeCell ref="E43:K45"/>
    <mergeCell ref="L43:L45"/>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9"/>
  <sheetViews>
    <sheetView topLeftCell="A38" workbookViewId="0">
      <selection activeCell="A46" sqref="A46:L46"/>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16" t="s">
        <v>27</v>
      </c>
      <c r="B6" s="215" t="s">
        <v>28</v>
      </c>
      <c r="C6" s="215" t="s">
        <v>29</v>
      </c>
      <c r="D6" s="30"/>
      <c r="E6" s="30"/>
      <c r="F6" s="30"/>
      <c r="G6" s="30"/>
      <c r="H6" s="31"/>
      <c r="I6" s="31"/>
      <c r="J6" s="31"/>
      <c r="K6" s="31"/>
      <c r="L6" s="32"/>
    </row>
    <row r="7" spans="1:12" x14ac:dyDescent="0.25">
      <c r="A7" s="41" t="s">
        <v>179</v>
      </c>
      <c r="B7" s="42" t="s">
        <v>30</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18" t="s">
        <v>40</v>
      </c>
      <c r="K13" s="218" t="s">
        <v>40</v>
      </c>
      <c r="L13" s="218" t="s">
        <v>41</v>
      </c>
    </row>
    <row r="14" spans="1:12" x14ac:dyDescent="0.25">
      <c r="A14" s="396"/>
      <c r="B14" s="397"/>
      <c r="C14" s="396"/>
      <c r="D14" s="397"/>
      <c r="E14" s="361"/>
      <c r="F14" s="362"/>
      <c r="G14" s="399"/>
      <c r="H14" s="399"/>
      <c r="I14" s="399"/>
      <c r="J14" s="219" t="s">
        <v>42</v>
      </c>
      <c r="K14" s="219" t="s">
        <v>43</v>
      </c>
      <c r="L14" s="219" t="s">
        <v>44</v>
      </c>
    </row>
    <row r="15" spans="1:12" x14ac:dyDescent="0.25">
      <c r="A15" s="385">
        <v>1</v>
      </c>
      <c r="B15" s="384"/>
      <c r="C15" s="386" t="s">
        <v>80</v>
      </c>
      <c r="D15" s="386"/>
      <c r="E15" s="383" t="s">
        <v>274</v>
      </c>
      <c r="F15" s="383"/>
      <c r="G15" s="59" t="s">
        <v>26</v>
      </c>
      <c r="H15" s="55">
        <v>1161818</v>
      </c>
      <c r="I15" s="56"/>
      <c r="J15" s="57"/>
      <c r="K15" s="57"/>
      <c r="L15" s="58">
        <f t="shared" ref="L15:L38" si="0">H15</f>
        <v>1161818</v>
      </c>
    </row>
    <row r="16" spans="1:12" x14ac:dyDescent="0.25">
      <c r="A16" s="385">
        <v>1</v>
      </c>
      <c r="B16" s="384"/>
      <c r="C16" s="386" t="s">
        <v>265</v>
      </c>
      <c r="D16" s="386"/>
      <c r="E16" s="383" t="s">
        <v>161</v>
      </c>
      <c r="F16" s="383"/>
      <c r="G16" s="59" t="s">
        <v>26</v>
      </c>
      <c r="H16" s="55">
        <v>313900</v>
      </c>
      <c r="I16" s="56"/>
      <c r="J16" s="57"/>
      <c r="K16" s="57"/>
      <c r="L16" s="58">
        <f t="shared" si="0"/>
        <v>313900</v>
      </c>
    </row>
    <row r="17" spans="1:12" x14ac:dyDescent="0.25">
      <c r="A17" s="387" t="s">
        <v>77</v>
      </c>
      <c r="B17" s="386"/>
      <c r="C17" s="386" t="s">
        <v>77</v>
      </c>
      <c r="D17" s="386"/>
      <c r="E17" s="388" t="s">
        <v>403</v>
      </c>
      <c r="F17" s="389"/>
      <c r="G17" s="221" t="s">
        <v>240</v>
      </c>
      <c r="H17" s="60">
        <v>1360600</v>
      </c>
      <c r="I17" s="56"/>
      <c r="J17" s="57"/>
      <c r="K17" s="57"/>
      <c r="L17" s="58">
        <f t="shared" si="0"/>
        <v>1360600</v>
      </c>
    </row>
    <row r="18" spans="1:12" x14ac:dyDescent="0.25">
      <c r="A18" s="387" t="s">
        <v>77</v>
      </c>
      <c r="B18" s="386"/>
      <c r="C18" s="384">
        <v>5</v>
      </c>
      <c r="D18" s="384"/>
      <c r="E18" s="388" t="s">
        <v>222</v>
      </c>
      <c r="F18" s="389"/>
      <c r="G18" s="221" t="s">
        <v>26</v>
      </c>
      <c r="H18" s="55">
        <v>673250</v>
      </c>
      <c r="I18" s="56"/>
      <c r="J18" s="57"/>
      <c r="K18" s="57"/>
      <c r="L18" s="58">
        <f t="shared" si="0"/>
        <v>673250</v>
      </c>
    </row>
    <row r="19" spans="1:12" x14ac:dyDescent="0.25">
      <c r="A19" s="387" t="s">
        <v>77</v>
      </c>
      <c r="B19" s="386"/>
      <c r="C19" s="384">
        <v>10</v>
      </c>
      <c r="D19" s="384"/>
      <c r="E19" s="388" t="s">
        <v>104</v>
      </c>
      <c r="F19" s="389"/>
      <c r="G19" s="221" t="s">
        <v>26</v>
      </c>
      <c r="H19" s="55">
        <v>438370</v>
      </c>
      <c r="I19" s="56"/>
      <c r="J19" s="57"/>
      <c r="K19" s="57"/>
      <c r="L19" s="58">
        <f t="shared" si="0"/>
        <v>438370</v>
      </c>
    </row>
    <row r="20" spans="1:12" x14ac:dyDescent="0.25">
      <c r="A20" s="387" t="s">
        <v>77</v>
      </c>
      <c r="B20" s="386"/>
      <c r="C20" s="379" t="s">
        <v>217</v>
      </c>
      <c r="D20" s="380"/>
      <c r="E20" s="392" t="s">
        <v>161</v>
      </c>
      <c r="F20" s="393"/>
      <c r="G20" s="221" t="s">
        <v>26</v>
      </c>
      <c r="H20" s="55">
        <v>313900</v>
      </c>
      <c r="I20" s="56"/>
      <c r="J20" s="57"/>
      <c r="K20" s="57"/>
      <c r="L20" s="58">
        <f t="shared" si="0"/>
        <v>313900</v>
      </c>
    </row>
    <row r="21" spans="1:12" x14ac:dyDescent="0.25">
      <c r="A21" s="385">
        <v>1</v>
      </c>
      <c r="B21" s="384"/>
      <c r="C21" s="386" t="s">
        <v>80</v>
      </c>
      <c r="D21" s="386"/>
      <c r="E21" s="383" t="s">
        <v>384</v>
      </c>
      <c r="F21" s="383"/>
      <c r="G21" s="59" t="s">
        <v>26</v>
      </c>
      <c r="H21" s="55">
        <v>849410</v>
      </c>
      <c r="I21" s="56"/>
      <c r="J21" s="57"/>
      <c r="K21" s="57"/>
      <c r="L21" s="58">
        <f t="shared" si="0"/>
        <v>849410</v>
      </c>
    </row>
    <row r="22" spans="1:12" x14ac:dyDescent="0.25">
      <c r="A22" s="375">
        <v>1</v>
      </c>
      <c r="B22" s="376"/>
      <c r="C22" s="322">
        <v>4</v>
      </c>
      <c r="D22" s="324"/>
      <c r="E22" s="383" t="s">
        <v>279</v>
      </c>
      <c r="F22" s="383"/>
      <c r="G22" s="59" t="s">
        <v>26</v>
      </c>
      <c r="H22" s="55">
        <v>1096900</v>
      </c>
      <c r="I22" s="56"/>
      <c r="J22" s="57"/>
      <c r="K22" s="57"/>
      <c r="L22" s="58">
        <f t="shared" si="0"/>
        <v>1096900</v>
      </c>
    </row>
    <row r="23" spans="1:12" x14ac:dyDescent="0.25">
      <c r="A23" s="375">
        <v>1</v>
      </c>
      <c r="B23" s="376"/>
      <c r="C23" s="384">
        <v>7</v>
      </c>
      <c r="D23" s="384"/>
      <c r="E23" s="383" t="s">
        <v>194</v>
      </c>
      <c r="F23" s="383"/>
      <c r="G23" s="59" t="s">
        <v>26</v>
      </c>
      <c r="H23" s="55">
        <v>728700</v>
      </c>
      <c r="I23" s="56"/>
      <c r="J23" s="57"/>
      <c r="K23" s="57"/>
      <c r="L23" s="58">
        <f t="shared" si="0"/>
        <v>728700</v>
      </c>
    </row>
    <row r="24" spans="1:12" x14ac:dyDescent="0.25">
      <c r="A24" s="375">
        <v>1</v>
      </c>
      <c r="B24" s="376"/>
      <c r="C24" s="379" t="s">
        <v>142</v>
      </c>
      <c r="D24" s="380"/>
      <c r="E24" s="392" t="s">
        <v>311</v>
      </c>
      <c r="F24" s="393"/>
      <c r="G24" s="59" t="s">
        <v>26</v>
      </c>
      <c r="H24" s="55">
        <v>1383100</v>
      </c>
      <c r="I24" s="56"/>
      <c r="J24" s="57"/>
      <c r="K24" s="57"/>
      <c r="L24" s="58">
        <f t="shared" si="0"/>
        <v>1383100</v>
      </c>
    </row>
    <row r="25" spans="1:12" x14ac:dyDescent="0.25">
      <c r="A25" s="375">
        <v>1</v>
      </c>
      <c r="B25" s="376"/>
      <c r="C25" s="379" t="s">
        <v>158</v>
      </c>
      <c r="D25" s="380"/>
      <c r="E25" s="381" t="s">
        <v>283</v>
      </c>
      <c r="F25" s="382"/>
      <c r="G25" s="59" t="s">
        <v>26</v>
      </c>
      <c r="H25" s="55">
        <v>1080900</v>
      </c>
      <c r="I25" s="56"/>
      <c r="J25" s="57"/>
      <c r="K25" s="57"/>
      <c r="L25" s="58">
        <f t="shared" si="0"/>
        <v>1080900</v>
      </c>
    </row>
    <row r="26" spans="1:12" x14ac:dyDescent="0.25">
      <c r="A26" s="375">
        <v>1</v>
      </c>
      <c r="B26" s="376"/>
      <c r="C26" s="379" t="s">
        <v>77</v>
      </c>
      <c r="D26" s="380"/>
      <c r="E26" s="381" t="s">
        <v>404</v>
      </c>
      <c r="F26" s="382"/>
      <c r="G26" s="59" t="s">
        <v>26</v>
      </c>
      <c r="H26" s="55">
        <v>488500</v>
      </c>
      <c r="I26" s="56"/>
      <c r="J26" s="57"/>
      <c r="K26" s="57"/>
      <c r="L26" s="58">
        <f t="shared" si="0"/>
        <v>488500</v>
      </c>
    </row>
    <row r="27" spans="1:12" x14ac:dyDescent="0.25">
      <c r="A27" s="375">
        <v>1</v>
      </c>
      <c r="B27" s="376"/>
      <c r="C27" s="322">
        <v>5</v>
      </c>
      <c r="D27" s="324"/>
      <c r="E27" s="381" t="s">
        <v>264</v>
      </c>
      <c r="F27" s="382"/>
      <c r="G27" s="221" t="s">
        <v>26</v>
      </c>
      <c r="H27" s="60">
        <v>1033600</v>
      </c>
      <c r="I27" s="56"/>
      <c r="J27" s="57"/>
      <c r="K27" s="57"/>
      <c r="L27" s="58">
        <f t="shared" si="0"/>
        <v>1033600</v>
      </c>
    </row>
    <row r="28" spans="1:12" x14ac:dyDescent="0.25">
      <c r="A28" s="375">
        <v>1</v>
      </c>
      <c r="B28" s="376"/>
      <c r="C28" s="322">
        <v>7</v>
      </c>
      <c r="D28" s="324"/>
      <c r="E28" s="383" t="s">
        <v>197</v>
      </c>
      <c r="F28" s="383"/>
      <c r="G28" s="221" t="s">
        <v>26</v>
      </c>
      <c r="H28" s="60">
        <v>481700</v>
      </c>
      <c r="I28" s="56"/>
      <c r="J28" s="57"/>
      <c r="K28" s="57"/>
      <c r="L28" s="58">
        <f t="shared" si="0"/>
        <v>481700</v>
      </c>
    </row>
    <row r="29" spans="1:12" x14ac:dyDescent="0.25">
      <c r="A29" s="375">
        <v>1</v>
      </c>
      <c r="B29" s="376"/>
      <c r="C29" s="379" t="s">
        <v>80</v>
      </c>
      <c r="D29" s="380"/>
      <c r="E29" s="377" t="s">
        <v>373</v>
      </c>
      <c r="F29" s="378"/>
      <c r="G29" s="221" t="s">
        <v>26</v>
      </c>
      <c r="H29" s="60">
        <v>419300</v>
      </c>
      <c r="I29" s="56"/>
      <c r="J29" s="57"/>
      <c r="K29" s="57"/>
      <c r="L29" s="58">
        <f t="shared" si="0"/>
        <v>419300</v>
      </c>
    </row>
    <row r="30" spans="1:12" x14ac:dyDescent="0.25">
      <c r="A30" s="375">
        <v>1</v>
      </c>
      <c r="B30" s="376"/>
      <c r="C30" s="411" t="s">
        <v>77</v>
      </c>
      <c r="D30" s="412"/>
      <c r="E30" s="381" t="s">
        <v>405</v>
      </c>
      <c r="F30" s="382"/>
      <c r="G30" s="221" t="s">
        <v>26</v>
      </c>
      <c r="H30" s="60">
        <v>989800</v>
      </c>
      <c r="I30" s="56"/>
      <c r="J30" s="57"/>
      <c r="K30" s="57"/>
      <c r="L30" s="58">
        <f t="shared" si="0"/>
        <v>989800</v>
      </c>
    </row>
    <row r="31" spans="1:12" x14ac:dyDescent="0.25">
      <c r="A31" s="375">
        <v>1</v>
      </c>
      <c r="B31" s="376"/>
      <c r="C31" s="375">
        <v>7</v>
      </c>
      <c r="D31" s="376"/>
      <c r="E31" s="381" t="s">
        <v>187</v>
      </c>
      <c r="F31" s="382"/>
      <c r="G31" s="221" t="s">
        <v>26</v>
      </c>
      <c r="H31" s="60">
        <v>804500</v>
      </c>
      <c r="I31" s="56"/>
      <c r="J31" s="57"/>
      <c r="K31" s="57"/>
      <c r="L31" s="58">
        <f t="shared" si="0"/>
        <v>804500</v>
      </c>
    </row>
    <row r="32" spans="1:12" x14ac:dyDescent="0.25">
      <c r="A32" s="375">
        <v>1</v>
      </c>
      <c r="B32" s="376"/>
      <c r="C32" s="375">
        <v>2</v>
      </c>
      <c r="D32" s="376"/>
      <c r="E32" s="381" t="s">
        <v>382</v>
      </c>
      <c r="F32" s="382"/>
      <c r="G32" s="221" t="s">
        <v>26</v>
      </c>
      <c r="H32" s="60">
        <v>1376500</v>
      </c>
      <c r="I32" s="56"/>
      <c r="J32" s="57"/>
      <c r="K32" s="57"/>
      <c r="L32" s="58">
        <f t="shared" si="0"/>
        <v>1376500</v>
      </c>
    </row>
    <row r="33" spans="1:12" x14ac:dyDescent="0.25">
      <c r="A33" s="375">
        <v>1</v>
      </c>
      <c r="B33" s="376"/>
      <c r="C33" s="375">
        <v>2</v>
      </c>
      <c r="D33" s="376"/>
      <c r="E33" s="381" t="s">
        <v>374</v>
      </c>
      <c r="F33" s="382"/>
      <c r="G33" s="221" t="s">
        <v>26</v>
      </c>
      <c r="H33" s="60">
        <v>779300</v>
      </c>
      <c r="I33" s="56"/>
      <c r="J33" s="57"/>
      <c r="K33" s="57"/>
      <c r="L33" s="58">
        <f t="shared" si="0"/>
        <v>779300</v>
      </c>
    </row>
    <row r="34" spans="1:12" x14ac:dyDescent="0.25">
      <c r="A34" s="375">
        <v>1</v>
      </c>
      <c r="B34" s="376"/>
      <c r="C34" s="411" t="s">
        <v>273</v>
      </c>
      <c r="D34" s="412"/>
      <c r="E34" s="381" t="s">
        <v>89</v>
      </c>
      <c r="F34" s="382"/>
      <c r="G34" s="221" t="s">
        <v>26</v>
      </c>
      <c r="H34" s="60">
        <v>1060500</v>
      </c>
      <c r="I34" s="56"/>
      <c r="J34" s="57"/>
      <c r="K34" s="57"/>
      <c r="L34" s="58">
        <f t="shared" si="0"/>
        <v>1060500</v>
      </c>
    </row>
    <row r="35" spans="1:12" x14ac:dyDescent="0.25">
      <c r="A35" s="375">
        <v>1</v>
      </c>
      <c r="B35" s="376"/>
      <c r="C35" s="375">
        <v>10</v>
      </c>
      <c r="D35" s="376"/>
      <c r="E35" s="381" t="s">
        <v>105</v>
      </c>
      <c r="F35" s="382"/>
      <c r="G35" s="221" t="s">
        <v>26</v>
      </c>
      <c r="H35" s="60">
        <v>487985</v>
      </c>
      <c r="I35" s="56"/>
      <c r="J35" s="57"/>
      <c r="K35" s="57"/>
      <c r="L35" s="58">
        <f t="shared" si="0"/>
        <v>487985</v>
      </c>
    </row>
    <row r="36" spans="1:12" x14ac:dyDescent="0.25">
      <c r="A36" s="375">
        <v>2</v>
      </c>
      <c r="B36" s="376"/>
      <c r="C36" s="411" t="s">
        <v>406</v>
      </c>
      <c r="D36" s="412"/>
      <c r="E36" s="381" t="s">
        <v>407</v>
      </c>
      <c r="F36" s="382"/>
      <c r="G36" s="221" t="s">
        <v>26</v>
      </c>
      <c r="H36" s="60">
        <v>960600</v>
      </c>
      <c r="I36" s="56"/>
      <c r="J36" s="57"/>
      <c r="K36" s="57"/>
      <c r="L36" s="58">
        <f t="shared" si="0"/>
        <v>960600</v>
      </c>
    </row>
    <row r="37" spans="1:12" x14ac:dyDescent="0.25">
      <c r="A37" s="375"/>
      <c r="B37" s="376"/>
      <c r="C37" s="379"/>
      <c r="D37" s="380"/>
      <c r="E37" s="381"/>
      <c r="F37" s="382"/>
      <c r="G37" s="221"/>
      <c r="H37" s="60"/>
      <c r="I37" s="56"/>
      <c r="J37" s="57"/>
      <c r="K37" s="57"/>
      <c r="L37" s="58">
        <f t="shared" si="0"/>
        <v>0</v>
      </c>
    </row>
    <row r="38" spans="1:12" x14ac:dyDescent="0.25">
      <c r="A38" s="375"/>
      <c r="B38" s="376"/>
      <c r="C38" s="322"/>
      <c r="D38" s="324"/>
      <c r="E38" s="392"/>
      <c r="F38" s="393"/>
      <c r="G38" s="221"/>
      <c r="H38" s="60"/>
      <c r="I38" s="56"/>
      <c r="J38" s="57"/>
      <c r="K38" s="57"/>
      <c r="L38" s="58">
        <f t="shared" si="0"/>
        <v>0</v>
      </c>
    </row>
    <row r="39" spans="1:12" x14ac:dyDescent="0.25">
      <c r="A39" s="322"/>
      <c r="B39" s="324"/>
      <c r="C39" s="61" t="s">
        <v>45</v>
      </c>
      <c r="D39" s="62"/>
      <c r="E39" s="62"/>
      <c r="F39" s="62"/>
      <c r="G39" s="62"/>
      <c r="H39" s="63">
        <f>SUM(H15:H38)</f>
        <v>18283133</v>
      </c>
      <c r="I39" s="334"/>
      <c r="J39" s="335"/>
      <c r="K39" s="336"/>
      <c r="L39" s="63">
        <f>SUM(L15:L38)</f>
        <v>18283133</v>
      </c>
    </row>
    <row r="40" spans="1:12" x14ac:dyDescent="0.25">
      <c r="A40" s="64"/>
      <c r="B40" s="38"/>
      <c r="C40" s="29"/>
      <c r="D40" s="30"/>
      <c r="E40" s="30"/>
      <c r="F40" s="30"/>
      <c r="G40" s="30"/>
      <c r="H40" s="31"/>
      <c r="I40" s="31"/>
      <c r="J40" s="31"/>
      <c r="K40" s="31"/>
      <c r="L40" s="32"/>
    </row>
    <row r="41" spans="1:12" x14ac:dyDescent="0.25">
      <c r="A41" s="48" t="s">
        <v>46</v>
      </c>
      <c r="B41" s="38"/>
      <c r="C41" s="29"/>
      <c r="D41" s="30"/>
      <c r="E41" s="30"/>
      <c r="F41" s="30"/>
      <c r="G41" s="30"/>
      <c r="H41" s="31"/>
      <c r="I41" s="31"/>
      <c r="J41" s="31"/>
      <c r="K41" s="31"/>
      <c r="L41" s="32"/>
    </row>
    <row r="42" spans="1:12" x14ac:dyDescent="0.25">
      <c r="A42" s="48"/>
      <c r="B42" s="30"/>
      <c r="C42" s="30"/>
      <c r="D42" s="30"/>
      <c r="E42" s="30"/>
      <c r="F42" s="30"/>
      <c r="G42" s="30"/>
      <c r="H42" s="31"/>
      <c r="I42" s="31"/>
      <c r="J42" s="31"/>
      <c r="K42" s="31"/>
      <c r="L42" s="32"/>
    </row>
    <row r="43" spans="1:12" x14ac:dyDescent="0.25">
      <c r="A43" s="357" t="s">
        <v>47</v>
      </c>
      <c r="B43" s="358"/>
      <c r="C43" s="363" t="s">
        <v>48</v>
      </c>
      <c r="D43" s="364"/>
      <c r="E43" s="357" t="s">
        <v>49</v>
      </c>
      <c r="F43" s="369"/>
      <c r="G43" s="369"/>
      <c r="H43" s="369"/>
      <c r="I43" s="369"/>
      <c r="J43" s="369"/>
      <c r="K43" s="358"/>
      <c r="L43" s="372" t="s">
        <v>50</v>
      </c>
    </row>
    <row r="44" spans="1:12" x14ac:dyDescent="0.25">
      <c r="A44" s="359"/>
      <c r="B44" s="360"/>
      <c r="C44" s="365"/>
      <c r="D44" s="366"/>
      <c r="E44" s="359"/>
      <c r="F44" s="370"/>
      <c r="G44" s="370"/>
      <c r="H44" s="370"/>
      <c r="I44" s="370"/>
      <c r="J44" s="370"/>
      <c r="K44" s="360"/>
      <c r="L44" s="373"/>
    </row>
    <row r="45" spans="1:12" x14ac:dyDescent="0.25">
      <c r="A45" s="361"/>
      <c r="B45" s="362"/>
      <c r="C45" s="367"/>
      <c r="D45" s="368"/>
      <c r="E45" s="361"/>
      <c r="F45" s="371"/>
      <c r="G45" s="371"/>
      <c r="H45" s="371"/>
      <c r="I45" s="371"/>
      <c r="J45" s="371"/>
      <c r="K45" s="362"/>
      <c r="L45" s="374"/>
    </row>
    <row r="46" spans="1:12" x14ac:dyDescent="0.25">
      <c r="A46" s="352">
        <v>46060</v>
      </c>
      <c r="B46" s="353"/>
      <c r="C46" s="322" t="s">
        <v>100</v>
      </c>
      <c r="D46" s="324"/>
      <c r="E46" s="354" t="s">
        <v>244</v>
      </c>
      <c r="F46" s="355"/>
      <c r="G46" s="355"/>
      <c r="H46" s="355"/>
      <c r="I46" s="355"/>
      <c r="J46" s="355"/>
      <c r="K46" s="356"/>
      <c r="L46" s="55">
        <v>18283133</v>
      </c>
    </row>
    <row r="47" spans="1:12" s="33" customFormat="1" x14ac:dyDescent="0.25">
      <c r="A47" s="352"/>
      <c r="B47" s="353"/>
      <c r="C47" s="322"/>
      <c r="D47" s="324"/>
      <c r="E47" s="354"/>
      <c r="F47" s="355"/>
      <c r="G47" s="355"/>
      <c r="H47" s="355"/>
      <c r="I47" s="355"/>
      <c r="J47" s="355"/>
      <c r="K47" s="356"/>
      <c r="L47" s="55"/>
    </row>
    <row r="48" spans="1:12" s="33" customFormat="1" x14ac:dyDescent="0.25">
      <c r="A48" s="352"/>
      <c r="B48" s="353"/>
      <c r="C48" s="322"/>
      <c r="D48" s="324"/>
      <c r="E48" s="354"/>
      <c r="F48" s="355"/>
      <c r="G48" s="355"/>
      <c r="H48" s="355"/>
      <c r="I48" s="355"/>
      <c r="J48" s="355"/>
      <c r="K48" s="356"/>
      <c r="L48" s="55"/>
    </row>
    <row r="49" spans="1:13" s="33" customFormat="1" x14ac:dyDescent="0.25">
      <c r="A49" s="352"/>
      <c r="B49" s="353"/>
      <c r="C49" s="322"/>
      <c r="D49" s="324"/>
      <c r="E49" s="354"/>
      <c r="F49" s="355"/>
      <c r="G49" s="355"/>
      <c r="H49" s="355"/>
      <c r="I49" s="355"/>
      <c r="J49" s="355"/>
      <c r="K49" s="356"/>
      <c r="L49" s="55"/>
    </row>
    <row r="50" spans="1:13" s="33" customFormat="1" x14ac:dyDescent="0.25">
      <c r="A50" s="352"/>
      <c r="B50" s="353"/>
      <c r="C50" s="322"/>
      <c r="D50" s="324"/>
      <c r="E50" s="354"/>
      <c r="F50" s="355"/>
      <c r="G50" s="355"/>
      <c r="H50" s="355"/>
      <c r="I50" s="355"/>
      <c r="J50" s="355"/>
      <c r="K50" s="356"/>
      <c r="L50" s="55"/>
    </row>
    <row r="51" spans="1:13" s="33" customFormat="1" x14ac:dyDescent="0.25">
      <c r="A51" s="352"/>
      <c r="B51" s="353"/>
      <c r="C51" s="322"/>
      <c r="D51" s="324"/>
      <c r="E51" s="354"/>
      <c r="F51" s="355"/>
      <c r="G51" s="355"/>
      <c r="H51" s="355"/>
      <c r="I51" s="355"/>
      <c r="J51" s="355"/>
      <c r="K51" s="356"/>
      <c r="L51" s="55"/>
    </row>
    <row r="52" spans="1:13" s="33" customFormat="1" x14ac:dyDescent="0.25">
      <c r="A52" s="352"/>
      <c r="B52" s="353"/>
      <c r="C52" s="322"/>
      <c r="D52" s="324"/>
      <c r="E52" s="354"/>
      <c r="F52" s="355"/>
      <c r="G52" s="355"/>
      <c r="H52" s="355"/>
      <c r="I52" s="355"/>
      <c r="J52" s="355"/>
      <c r="K52" s="356"/>
      <c r="L52" s="55"/>
    </row>
    <row r="53" spans="1:13" x14ac:dyDescent="0.25">
      <c r="A53" s="352"/>
      <c r="B53" s="353"/>
      <c r="C53" s="322"/>
      <c r="D53" s="324"/>
      <c r="E53" s="354"/>
      <c r="F53" s="355"/>
      <c r="G53" s="355"/>
      <c r="H53" s="355"/>
      <c r="I53" s="355"/>
      <c r="J53" s="355"/>
      <c r="K53" s="356"/>
      <c r="L53" s="55"/>
      <c r="M53" s="33"/>
    </row>
    <row r="54" spans="1:13" x14ac:dyDescent="0.25">
      <c r="A54" s="334" t="s">
        <v>51</v>
      </c>
      <c r="B54" s="335"/>
      <c r="C54" s="335"/>
      <c r="D54" s="335"/>
      <c r="E54" s="335"/>
      <c r="F54" s="335"/>
      <c r="G54" s="335"/>
      <c r="H54" s="335"/>
      <c r="I54" s="335"/>
      <c r="J54" s="335"/>
      <c r="K54" s="336"/>
      <c r="L54" s="63">
        <f>SUM(L46:L53)</f>
        <v>18283133</v>
      </c>
    </row>
    <row r="55" spans="1:13" x14ac:dyDescent="0.25">
      <c r="A55" s="65"/>
      <c r="B55" s="66"/>
      <c r="C55" s="66"/>
      <c r="D55" s="66"/>
      <c r="E55" s="66"/>
      <c r="F55" s="66"/>
      <c r="G55" s="66"/>
      <c r="H55" s="31"/>
      <c r="I55" s="31"/>
      <c r="J55" s="31"/>
      <c r="K55" s="31"/>
      <c r="L55" s="31"/>
    </row>
    <row r="56" spans="1:13" x14ac:dyDescent="0.25">
      <c r="A56" s="48" t="s">
        <v>52</v>
      </c>
      <c r="B56" s="30"/>
      <c r="C56" s="30"/>
      <c r="D56" s="30"/>
      <c r="E56" s="30"/>
      <c r="F56" s="30"/>
      <c r="G56" s="30"/>
      <c r="H56" s="31"/>
      <c r="I56" s="31"/>
      <c r="J56" s="31"/>
      <c r="K56" s="31"/>
      <c r="L56" s="31"/>
    </row>
    <row r="57" spans="1:13" x14ac:dyDescent="0.25">
      <c r="A57" s="44"/>
      <c r="B57" s="45"/>
      <c r="C57" s="45"/>
      <c r="D57" s="45"/>
      <c r="E57" s="45"/>
      <c r="F57" s="45"/>
      <c r="G57" s="45"/>
      <c r="H57" s="31"/>
      <c r="I57" s="31"/>
      <c r="J57" s="46"/>
      <c r="K57" s="46"/>
      <c r="L57" s="31"/>
    </row>
    <row r="58" spans="1:13" x14ac:dyDescent="0.25">
      <c r="A58" s="337" t="s">
        <v>53</v>
      </c>
      <c r="B58" s="338"/>
      <c r="C58" s="337" t="s">
        <v>54</v>
      </c>
      <c r="D58" s="338"/>
      <c r="E58" s="217" t="s">
        <v>55</v>
      </c>
      <c r="F58" s="68" t="s">
        <v>37</v>
      </c>
      <c r="G58" s="339"/>
      <c r="H58" s="340"/>
      <c r="I58" s="340"/>
      <c r="J58" s="340"/>
      <c r="K58" s="341"/>
      <c r="L58" s="348" t="s">
        <v>56</v>
      </c>
    </row>
    <row r="59" spans="1:13" x14ac:dyDescent="0.25">
      <c r="A59" s="316"/>
      <c r="B59" s="317"/>
      <c r="C59" s="350" t="s">
        <v>57</v>
      </c>
      <c r="D59" s="351"/>
      <c r="E59" s="69"/>
      <c r="F59" s="44"/>
      <c r="G59" s="342"/>
      <c r="H59" s="343"/>
      <c r="I59" s="343"/>
      <c r="J59" s="343"/>
      <c r="K59" s="344"/>
      <c r="L59" s="349"/>
    </row>
    <row r="60" spans="1:13" x14ac:dyDescent="0.25">
      <c r="A60" s="310"/>
      <c r="B60" s="312"/>
      <c r="C60" s="310"/>
      <c r="D60" s="312"/>
      <c r="E60" s="70"/>
      <c r="F60" s="220"/>
      <c r="G60" s="342"/>
      <c r="H60" s="343"/>
      <c r="I60" s="343"/>
      <c r="J60" s="343"/>
      <c r="K60" s="344"/>
      <c r="L60" s="55"/>
    </row>
    <row r="61" spans="1:13" x14ac:dyDescent="0.25">
      <c r="A61" s="310"/>
      <c r="B61" s="312"/>
      <c r="C61" s="310"/>
      <c r="D61" s="312"/>
      <c r="E61" s="70"/>
      <c r="F61" s="64"/>
      <c r="G61" s="345"/>
      <c r="H61" s="346"/>
      <c r="I61" s="346"/>
      <c r="J61" s="346"/>
      <c r="K61" s="347"/>
      <c r="L61" s="72"/>
    </row>
    <row r="62" spans="1:13" x14ac:dyDescent="0.25">
      <c r="A62" s="322" t="s">
        <v>41</v>
      </c>
      <c r="B62" s="323"/>
      <c r="C62" s="323"/>
      <c r="D62" s="323"/>
      <c r="E62" s="323"/>
      <c r="F62" s="323"/>
      <c r="G62" s="323"/>
      <c r="H62" s="323"/>
      <c r="I62" s="323"/>
      <c r="J62" s="323"/>
      <c r="K62" s="324"/>
      <c r="L62" s="73">
        <f>SUM(L60:L61)</f>
        <v>0</v>
      </c>
    </row>
    <row r="63" spans="1:13" x14ac:dyDescent="0.25">
      <c r="A63" s="325"/>
      <c r="B63" s="326"/>
      <c r="C63" s="326"/>
      <c r="D63" s="326"/>
      <c r="E63" s="326"/>
      <c r="F63" s="326"/>
      <c r="G63" s="326"/>
      <c r="H63" s="326"/>
      <c r="I63" s="326"/>
      <c r="J63" s="326"/>
      <c r="K63" s="326"/>
      <c r="L63" s="326"/>
    </row>
    <row r="64" spans="1:13" x14ac:dyDescent="0.25">
      <c r="A64" s="327" t="s">
        <v>58</v>
      </c>
      <c r="B64" s="328"/>
      <c r="C64" s="328"/>
      <c r="D64" s="328"/>
      <c r="E64" s="328"/>
      <c r="F64" s="328"/>
      <c r="G64" s="328"/>
      <c r="H64" s="328"/>
      <c r="I64" s="328"/>
      <c r="J64" s="329"/>
      <c r="K64" s="330">
        <f>K9+L39-L54-L62</f>
        <v>0</v>
      </c>
      <c r="L64" s="330"/>
    </row>
    <row r="65" spans="1:13" x14ac:dyDescent="0.25">
      <c r="A65" s="331"/>
      <c r="B65" s="332"/>
      <c r="C65" s="332"/>
      <c r="D65" s="332"/>
      <c r="E65" s="332"/>
      <c r="F65" s="332"/>
      <c r="G65" s="332"/>
      <c r="H65" s="332"/>
      <c r="I65" s="332"/>
      <c r="J65" s="332"/>
      <c r="K65" s="332"/>
      <c r="L65" s="333"/>
    </row>
    <row r="66" spans="1:13" x14ac:dyDescent="0.25">
      <c r="A66" s="305" t="s">
        <v>59</v>
      </c>
      <c r="B66" s="305"/>
      <c r="C66" s="305"/>
      <c r="D66" s="305"/>
      <c r="E66" s="305"/>
      <c r="F66" s="305" t="s">
        <v>60</v>
      </c>
      <c r="G66" s="305"/>
      <c r="H66" s="305"/>
      <c r="I66" s="306"/>
      <c r="J66" s="309" t="s">
        <v>61</v>
      </c>
      <c r="K66" s="309"/>
      <c r="L66" s="309"/>
    </row>
    <row r="67" spans="1:13" x14ac:dyDescent="0.25">
      <c r="A67" s="310"/>
      <c r="B67" s="311"/>
      <c r="C67" s="311"/>
      <c r="D67" s="311"/>
      <c r="E67" s="312"/>
      <c r="F67" s="310"/>
      <c r="G67" s="311"/>
      <c r="H67" s="312"/>
      <c r="I67" s="307"/>
      <c r="J67" s="313"/>
      <c r="K67" s="314"/>
      <c r="L67" s="315"/>
      <c r="M67" s="74"/>
    </row>
    <row r="68" spans="1:13" x14ac:dyDescent="0.25">
      <c r="A68" s="316"/>
      <c r="B68" s="317"/>
      <c r="C68" s="317"/>
      <c r="D68" s="317"/>
      <c r="E68" s="318"/>
      <c r="F68" s="316"/>
      <c r="G68" s="317"/>
      <c r="H68" s="318"/>
      <c r="I68" s="308"/>
      <c r="J68" s="319"/>
      <c r="K68" s="320"/>
      <c r="L68" s="321"/>
    </row>
    <row r="69" spans="1:13" x14ac:dyDescent="0.25">
      <c r="A69" s="33"/>
      <c r="B69" s="33"/>
      <c r="C69" s="33"/>
      <c r="D69" s="33"/>
      <c r="E69" s="33"/>
      <c r="F69" s="33"/>
      <c r="G69" s="33"/>
      <c r="H69" s="75"/>
      <c r="I69" s="75"/>
      <c r="J69" s="75"/>
      <c r="K69" s="75"/>
      <c r="L69" s="75"/>
    </row>
  </sheetData>
  <mergeCells count="140">
    <mergeCell ref="G13:G14"/>
    <mergeCell ref="H13:H14"/>
    <mergeCell ref="I13:I14"/>
    <mergeCell ref="A1:L1"/>
    <mergeCell ref="A4:C4"/>
    <mergeCell ref="E4:F5"/>
    <mergeCell ref="A5:C5"/>
    <mergeCell ref="A9:J9"/>
    <mergeCell ref="K9:L9"/>
    <mergeCell ref="A15:B15"/>
    <mergeCell ref="C15:D15"/>
    <mergeCell ref="E15:F15"/>
    <mergeCell ref="A16:B16"/>
    <mergeCell ref="C16:D16"/>
    <mergeCell ref="E16:F16"/>
    <mergeCell ref="A13:B14"/>
    <mergeCell ref="C13:D14"/>
    <mergeCell ref="E13:F14"/>
    <mergeCell ref="A19:B19"/>
    <mergeCell ref="C19:D19"/>
    <mergeCell ref="E19:F19"/>
    <mergeCell ref="A20:B20"/>
    <mergeCell ref="C20:D20"/>
    <mergeCell ref="E20:F20"/>
    <mergeCell ref="A17:B17"/>
    <mergeCell ref="C17:D17"/>
    <mergeCell ref="E17:F17"/>
    <mergeCell ref="A18:B18"/>
    <mergeCell ref="C18:D18"/>
    <mergeCell ref="E18:F18"/>
    <mergeCell ref="A23:B23"/>
    <mergeCell ref="C23:D23"/>
    <mergeCell ref="E23:F23"/>
    <mergeCell ref="A24:B24"/>
    <mergeCell ref="C24:D24"/>
    <mergeCell ref="E24:F24"/>
    <mergeCell ref="A21:B21"/>
    <mergeCell ref="C21:D21"/>
    <mergeCell ref="E21:F21"/>
    <mergeCell ref="A22:B22"/>
    <mergeCell ref="C22:D22"/>
    <mergeCell ref="E22:F22"/>
    <mergeCell ref="A27:B27"/>
    <mergeCell ref="C27:D27"/>
    <mergeCell ref="E27:F27"/>
    <mergeCell ref="A28:B28"/>
    <mergeCell ref="C28:D28"/>
    <mergeCell ref="E28:F28"/>
    <mergeCell ref="A25:B25"/>
    <mergeCell ref="C25:D25"/>
    <mergeCell ref="E25:F25"/>
    <mergeCell ref="A26:B26"/>
    <mergeCell ref="C26:D26"/>
    <mergeCell ref="E26:F26"/>
    <mergeCell ref="A31:B31"/>
    <mergeCell ref="C31:D31"/>
    <mergeCell ref="E31:F31"/>
    <mergeCell ref="A32:B32"/>
    <mergeCell ref="C32:D32"/>
    <mergeCell ref="E32:F32"/>
    <mergeCell ref="A29:B29"/>
    <mergeCell ref="C29:D29"/>
    <mergeCell ref="E29:F29"/>
    <mergeCell ref="A30:B30"/>
    <mergeCell ref="C30:D30"/>
    <mergeCell ref="E30:F30"/>
    <mergeCell ref="A35:B35"/>
    <mergeCell ref="C35:D35"/>
    <mergeCell ref="E35:F35"/>
    <mergeCell ref="A36:B36"/>
    <mergeCell ref="C36:D36"/>
    <mergeCell ref="E36:F36"/>
    <mergeCell ref="A33:B33"/>
    <mergeCell ref="C33:D33"/>
    <mergeCell ref="E33:F33"/>
    <mergeCell ref="A34:B34"/>
    <mergeCell ref="C34:D34"/>
    <mergeCell ref="E34:F34"/>
    <mergeCell ref="A39:B39"/>
    <mergeCell ref="I39:K39"/>
    <mergeCell ref="A43:B45"/>
    <mergeCell ref="C43:D45"/>
    <mergeCell ref="E43:K45"/>
    <mergeCell ref="L43:L45"/>
    <mergeCell ref="A37:B37"/>
    <mergeCell ref="C37:D37"/>
    <mergeCell ref="E37:F37"/>
    <mergeCell ref="A38:B38"/>
    <mergeCell ref="C38:D38"/>
    <mergeCell ref="E38:F38"/>
    <mergeCell ref="A48:B48"/>
    <mergeCell ref="C48:D48"/>
    <mergeCell ref="E48:K48"/>
    <mergeCell ref="A49:B49"/>
    <mergeCell ref="C49:D49"/>
    <mergeCell ref="E49:K49"/>
    <mergeCell ref="A46:B46"/>
    <mergeCell ref="C46:D46"/>
    <mergeCell ref="E46:K46"/>
    <mergeCell ref="A47:B47"/>
    <mergeCell ref="C47:D47"/>
    <mergeCell ref="E47:K47"/>
    <mergeCell ref="A52:B52"/>
    <mergeCell ref="C52:D52"/>
    <mergeCell ref="E52:K52"/>
    <mergeCell ref="A53:B53"/>
    <mergeCell ref="C53:D53"/>
    <mergeCell ref="E53:K53"/>
    <mergeCell ref="A50:B50"/>
    <mergeCell ref="C50:D50"/>
    <mergeCell ref="E50:K50"/>
    <mergeCell ref="A51:B51"/>
    <mergeCell ref="C51:D51"/>
    <mergeCell ref="E51:K51"/>
    <mergeCell ref="C61:D61"/>
    <mergeCell ref="A62:K62"/>
    <mergeCell ref="A63:L63"/>
    <mergeCell ref="A64:J64"/>
    <mergeCell ref="K64:L64"/>
    <mergeCell ref="A65:L65"/>
    <mergeCell ref="A54:K54"/>
    <mergeCell ref="A58:B58"/>
    <mergeCell ref="C58:D58"/>
    <mergeCell ref="G58:K61"/>
    <mergeCell ref="L58:L59"/>
    <mergeCell ref="A59:B59"/>
    <mergeCell ref="C59:D59"/>
    <mergeCell ref="A60:B60"/>
    <mergeCell ref="C60:D60"/>
    <mergeCell ref="A61:B61"/>
    <mergeCell ref="A66:E66"/>
    <mergeCell ref="F66:H66"/>
    <mergeCell ref="I66:I68"/>
    <mergeCell ref="J66:L66"/>
    <mergeCell ref="A67:E67"/>
    <mergeCell ref="F67:H67"/>
    <mergeCell ref="J67:L67"/>
    <mergeCell ref="A68:E68"/>
    <mergeCell ref="F68:H68"/>
    <mergeCell ref="J68:L6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topLeftCell="A42" workbookViewId="0">
      <selection activeCell="A42" sqref="A42:F42"/>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23" t="s">
        <v>27</v>
      </c>
      <c r="B6" s="228" t="s">
        <v>28</v>
      </c>
      <c r="C6" s="228" t="s">
        <v>29</v>
      </c>
      <c r="D6" s="30"/>
      <c r="E6" s="30"/>
      <c r="F6" s="30"/>
      <c r="G6" s="30"/>
      <c r="H6" s="31"/>
      <c r="I6" s="31"/>
      <c r="J6" s="31"/>
      <c r="K6" s="31"/>
      <c r="L6" s="32"/>
    </row>
    <row r="7" spans="1:12" x14ac:dyDescent="0.25">
      <c r="A7" s="41" t="s">
        <v>408</v>
      </c>
      <c r="B7" s="42" t="s">
        <v>30</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26" t="s">
        <v>40</v>
      </c>
      <c r="K13" s="226" t="s">
        <v>40</v>
      </c>
      <c r="L13" s="226" t="s">
        <v>41</v>
      </c>
    </row>
    <row r="14" spans="1:12" x14ac:dyDescent="0.25">
      <c r="A14" s="396"/>
      <c r="B14" s="397"/>
      <c r="C14" s="396"/>
      <c r="D14" s="397"/>
      <c r="E14" s="361"/>
      <c r="F14" s="362"/>
      <c r="G14" s="399"/>
      <c r="H14" s="399"/>
      <c r="I14" s="399"/>
      <c r="J14" s="227" t="s">
        <v>42</v>
      </c>
      <c r="K14" s="227" t="s">
        <v>43</v>
      </c>
      <c r="L14" s="227" t="s">
        <v>44</v>
      </c>
    </row>
    <row r="15" spans="1:12" x14ac:dyDescent="0.25">
      <c r="A15" s="385">
        <v>1</v>
      </c>
      <c r="B15" s="384"/>
      <c r="C15" s="386" t="s">
        <v>206</v>
      </c>
      <c r="D15" s="386"/>
      <c r="E15" s="383" t="s">
        <v>227</v>
      </c>
      <c r="F15" s="383"/>
      <c r="G15" s="59" t="s">
        <v>26</v>
      </c>
      <c r="H15" s="55">
        <v>583707</v>
      </c>
      <c r="I15" s="56"/>
      <c r="J15" s="57"/>
      <c r="K15" s="57"/>
      <c r="L15" s="58">
        <f t="shared" ref="L15:L42" si="0">H15</f>
        <v>583707</v>
      </c>
    </row>
    <row r="16" spans="1:12" x14ac:dyDescent="0.25">
      <c r="A16" s="385">
        <v>1</v>
      </c>
      <c r="B16" s="384"/>
      <c r="C16" s="386" t="s">
        <v>80</v>
      </c>
      <c r="D16" s="386"/>
      <c r="E16" s="383" t="s">
        <v>389</v>
      </c>
      <c r="F16" s="383"/>
      <c r="G16" s="59" t="s">
        <v>26</v>
      </c>
      <c r="H16" s="55">
        <v>615100</v>
      </c>
      <c r="I16" s="56"/>
      <c r="J16" s="57"/>
      <c r="K16" s="57"/>
      <c r="L16" s="58">
        <f t="shared" si="0"/>
        <v>615100</v>
      </c>
    </row>
    <row r="17" spans="1:12" x14ac:dyDescent="0.25">
      <c r="A17" s="387" t="s">
        <v>77</v>
      </c>
      <c r="B17" s="386"/>
      <c r="C17" s="386" t="s">
        <v>80</v>
      </c>
      <c r="D17" s="386"/>
      <c r="E17" s="388" t="s">
        <v>387</v>
      </c>
      <c r="F17" s="389"/>
      <c r="G17" s="225" t="s">
        <v>26</v>
      </c>
      <c r="H17" s="60">
        <v>1218500</v>
      </c>
      <c r="I17" s="56"/>
      <c r="J17" s="57"/>
      <c r="K17" s="57"/>
      <c r="L17" s="58">
        <f t="shared" si="0"/>
        <v>1218500</v>
      </c>
    </row>
    <row r="18" spans="1:12" x14ac:dyDescent="0.25">
      <c r="A18" s="387" t="s">
        <v>77</v>
      </c>
      <c r="B18" s="386"/>
      <c r="C18" s="384">
        <v>12</v>
      </c>
      <c r="D18" s="384"/>
      <c r="E18" s="388" t="s">
        <v>72</v>
      </c>
      <c r="F18" s="389"/>
      <c r="G18" s="225" t="s">
        <v>26</v>
      </c>
      <c r="H18" s="55">
        <v>672300</v>
      </c>
      <c r="I18" s="56"/>
      <c r="J18" s="57"/>
      <c r="K18" s="57"/>
      <c r="L18" s="58">
        <f t="shared" si="0"/>
        <v>672300</v>
      </c>
    </row>
    <row r="19" spans="1:12" x14ac:dyDescent="0.25">
      <c r="A19" s="387" t="s">
        <v>77</v>
      </c>
      <c r="B19" s="386"/>
      <c r="C19" s="384">
        <v>2</v>
      </c>
      <c r="D19" s="384"/>
      <c r="E19" s="388" t="s">
        <v>380</v>
      </c>
      <c r="F19" s="389"/>
      <c r="G19" s="225" t="s">
        <v>26</v>
      </c>
      <c r="H19" s="55">
        <v>1376500</v>
      </c>
      <c r="I19" s="56"/>
      <c r="J19" s="57"/>
      <c r="K19" s="57"/>
      <c r="L19" s="58">
        <f t="shared" si="0"/>
        <v>1376500</v>
      </c>
    </row>
    <row r="20" spans="1:12" x14ac:dyDescent="0.25">
      <c r="A20" s="387" t="s">
        <v>206</v>
      </c>
      <c r="B20" s="386"/>
      <c r="C20" s="379" t="s">
        <v>409</v>
      </c>
      <c r="D20" s="380"/>
      <c r="E20" s="392" t="s">
        <v>410</v>
      </c>
      <c r="F20" s="393"/>
      <c r="G20" s="225" t="s">
        <v>26</v>
      </c>
      <c r="H20" s="55">
        <v>3388200</v>
      </c>
      <c r="I20" s="56"/>
      <c r="J20" s="57"/>
      <c r="K20" s="57"/>
      <c r="L20" s="58">
        <f t="shared" si="0"/>
        <v>3388200</v>
      </c>
    </row>
    <row r="21" spans="1:12" x14ac:dyDescent="0.25">
      <c r="A21" s="385">
        <v>1</v>
      </c>
      <c r="B21" s="384"/>
      <c r="C21" s="386" t="s">
        <v>80</v>
      </c>
      <c r="D21" s="386"/>
      <c r="E21" s="383" t="s">
        <v>381</v>
      </c>
      <c r="F21" s="383"/>
      <c r="G21" s="59" t="s">
        <v>26</v>
      </c>
      <c r="H21" s="55">
        <v>308200</v>
      </c>
      <c r="I21" s="56"/>
      <c r="J21" s="57"/>
      <c r="K21" s="57"/>
      <c r="L21" s="58">
        <f t="shared" si="0"/>
        <v>308200</v>
      </c>
    </row>
    <row r="22" spans="1:12" x14ac:dyDescent="0.25">
      <c r="A22" s="375">
        <v>1</v>
      </c>
      <c r="B22" s="376"/>
      <c r="C22" s="322">
        <v>6</v>
      </c>
      <c r="D22" s="324"/>
      <c r="E22" s="383" t="s">
        <v>191</v>
      </c>
      <c r="F22" s="383"/>
      <c r="G22" s="59" t="s">
        <v>26</v>
      </c>
      <c r="H22" s="55">
        <v>346357</v>
      </c>
      <c r="I22" s="56"/>
      <c r="J22" s="57"/>
      <c r="K22" s="57"/>
      <c r="L22" s="58">
        <f t="shared" si="0"/>
        <v>346357</v>
      </c>
    </row>
    <row r="23" spans="1:12" x14ac:dyDescent="0.25">
      <c r="A23" s="375">
        <v>1</v>
      </c>
      <c r="B23" s="376"/>
      <c r="C23" s="384">
        <v>7</v>
      </c>
      <c r="D23" s="384"/>
      <c r="E23" s="383" t="s">
        <v>191</v>
      </c>
      <c r="F23" s="383"/>
      <c r="G23" s="59" t="s">
        <v>26</v>
      </c>
      <c r="H23" s="55">
        <v>336179</v>
      </c>
      <c r="I23" s="56"/>
      <c r="J23" s="57"/>
      <c r="K23" s="57"/>
      <c r="L23" s="58">
        <f t="shared" si="0"/>
        <v>336179</v>
      </c>
    </row>
    <row r="24" spans="1:12" x14ac:dyDescent="0.25">
      <c r="A24" s="375">
        <v>1</v>
      </c>
      <c r="B24" s="376"/>
      <c r="C24" s="379" t="s">
        <v>265</v>
      </c>
      <c r="D24" s="380"/>
      <c r="E24" s="392" t="s">
        <v>186</v>
      </c>
      <c r="F24" s="393"/>
      <c r="G24" s="59" t="s">
        <v>26</v>
      </c>
      <c r="H24" s="55">
        <v>724409</v>
      </c>
      <c r="I24" s="56"/>
      <c r="J24" s="57"/>
      <c r="K24" s="57"/>
      <c r="L24" s="58">
        <f t="shared" si="0"/>
        <v>724409</v>
      </c>
    </row>
    <row r="25" spans="1:12" x14ac:dyDescent="0.25">
      <c r="A25" s="375">
        <v>1</v>
      </c>
      <c r="B25" s="376"/>
      <c r="C25" s="379" t="s">
        <v>80</v>
      </c>
      <c r="D25" s="380"/>
      <c r="E25" s="381" t="s">
        <v>393</v>
      </c>
      <c r="F25" s="382"/>
      <c r="G25" s="59" t="s">
        <v>26</v>
      </c>
      <c r="H25" s="55">
        <v>965900</v>
      </c>
      <c r="I25" s="56"/>
      <c r="J25" s="57"/>
      <c r="K25" s="57"/>
      <c r="L25" s="58">
        <f t="shared" si="0"/>
        <v>965900</v>
      </c>
    </row>
    <row r="26" spans="1:12" x14ac:dyDescent="0.25">
      <c r="A26" s="375">
        <v>1</v>
      </c>
      <c r="B26" s="376"/>
      <c r="C26" s="379" t="s">
        <v>80</v>
      </c>
      <c r="D26" s="380"/>
      <c r="E26" s="381" t="s">
        <v>392</v>
      </c>
      <c r="F26" s="382"/>
      <c r="G26" s="59" t="s">
        <v>26</v>
      </c>
      <c r="H26" s="55">
        <v>588800</v>
      </c>
      <c r="I26" s="56"/>
      <c r="J26" s="57"/>
      <c r="K26" s="57"/>
      <c r="L26" s="58">
        <f t="shared" si="0"/>
        <v>588800</v>
      </c>
    </row>
    <row r="27" spans="1:12" x14ac:dyDescent="0.25">
      <c r="A27" s="375">
        <v>1</v>
      </c>
      <c r="B27" s="376"/>
      <c r="C27" s="322">
        <v>3</v>
      </c>
      <c r="D27" s="324"/>
      <c r="E27" s="381" t="s">
        <v>388</v>
      </c>
      <c r="F27" s="382"/>
      <c r="G27" s="225" t="s">
        <v>26</v>
      </c>
      <c r="H27" s="60">
        <v>619100</v>
      </c>
      <c r="I27" s="56"/>
      <c r="J27" s="57"/>
      <c r="K27" s="57"/>
      <c r="L27" s="58">
        <f t="shared" si="0"/>
        <v>619100</v>
      </c>
    </row>
    <row r="28" spans="1:12" x14ac:dyDescent="0.25">
      <c r="A28" s="375">
        <v>1</v>
      </c>
      <c r="B28" s="376"/>
      <c r="C28" s="322">
        <v>1</v>
      </c>
      <c r="D28" s="324"/>
      <c r="E28" s="383" t="s">
        <v>413</v>
      </c>
      <c r="F28" s="383"/>
      <c r="G28" s="225" t="s">
        <v>26</v>
      </c>
      <c r="H28" s="60">
        <v>1028500</v>
      </c>
      <c r="I28" s="56"/>
      <c r="J28" s="57"/>
      <c r="K28" s="57"/>
      <c r="L28" s="58">
        <f t="shared" si="0"/>
        <v>1028500</v>
      </c>
    </row>
    <row r="29" spans="1:12" x14ac:dyDescent="0.25">
      <c r="A29" s="375">
        <v>1</v>
      </c>
      <c r="B29" s="376"/>
      <c r="C29" s="379" t="s">
        <v>217</v>
      </c>
      <c r="D29" s="380"/>
      <c r="E29" s="377" t="s">
        <v>185</v>
      </c>
      <c r="F29" s="378"/>
      <c r="G29" s="225" t="s">
        <v>26</v>
      </c>
      <c r="H29" s="60">
        <v>325300</v>
      </c>
      <c r="I29" s="56"/>
      <c r="J29" s="57"/>
      <c r="K29" s="57"/>
      <c r="L29" s="58">
        <f t="shared" si="0"/>
        <v>325300</v>
      </c>
    </row>
    <row r="30" spans="1:12" x14ac:dyDescent="0.25">
      <c r="A30" s="375">
        <v>1</v>
      </c>
      <c r="B30" s="376"/>
      <c r="C30" s="411" t="s">
        <v>158</v>
      </c>
      <c r="D30" s="412"/>
      <c r="E30" s="381" t="s">
        <v>270</v>
      </c>
      <c r="F30" s="382"/>
      <c r="G30" s="225" t="s">
        <v>26</v>
      </c>
      <c r="H30" s="60">
        <v>1964894</v>
      </c>
      <c r="I30" s="56"/>
      <c r="J30" s="57"/>
      <c r="K30" s="57"/>
      <c r="L30" s="58">
        <f t="shared" si="0"/>
        <v>1964894</v>
      </c>
    </row>
    <row r="31" spans="1:12" x14ac:dyDescent="0.25">
      <c r="A31" s="375">
        <v>1</v>
      </c>
      <c r="B31" s="376"/>
      <c r="C31" s="375">
        <v>10</v>
      </c>
      <c r="D31" s="376"/>
      <c r="E31" s="381" t="s">
        <v>86</v>
      </c>
      <c r="F31" s="382"/>
      <c r="G31" s="225" t="s">
        <v>26</v>
      </c>
      <c r="H31" s="60">
        <v>592853</v>
      </c>
      <c r="I31" s="56"/>
      <c r="J31" s="57"/>
      <c r="K31" s="57"/>
      <c r="L31" s="58">
        <f t="shared" si="0"/>
        <v>592853</v>
      </c>
    </row>
    <row r="32" spans="1:12" x14ac:dyDescent="0.25">
      <c r="A32" s="375">
        <v>1</v>
      </c>
      <c r="B32" s="376"/>
      <c r="C32" s="375">
        <v>1</v>
      </c>
      <c r="D32" s="376"/>
      <c r="E32" s="381" t="s">
        <v>414</v>
      </c>
      <c r="F32" s="382"/>
      <c r="G32" s="225" t="s">
        <v>26</v>
      </c>
      <c r="H32" s="60">
        <v>452200</v>
      </c>
      <c r="I32" s="56"/>
      <c r="J32" s="57"/>
      <c r="K32" s="57"/>
      <c r="L32" s="58">
        <f t="shared" si="0"/>
        <v>452200</v>
      </c>
    </row>
    <row r="33" spans="1:12" x14ac:dyDescent="0.25">
      <c r="A33" s="375">
        <v>2</v>
      </c>
      <c r="B33" s="376"/>
      <c r="C33" s="411" t="s">
        <v>262</v>
      </c>
      <c r="D33" s="412"/>
      <c r="E33" s="381" t="s">
        <v>415</v>
      </c>
      <c r="F33" s="382"/>
      <c r="G33" s="225" t="s">
        <v>26</v>
      </c>
      <c r="H33" s="60">
        <v>851200</v>
      </c>
      <c r="I33" s="56"/>
      <c r="J33" s="57"/>
      <c r="K33" s="57"/>
      <c r="L33" s="58">
        <f t="shared" si="0"/>
        <v>851200</v>
      </c>
    </row>
    <row r="34" spans="1:12" x14ac:dyDescent="0.25">
      <c r="A34" s="375">
        <v>1</v>
      </c>
      <c r="B34" s="376"/>
      <c r="C34" s="411" t="s">
        <v>342</v>
      </c>
      <c r="D34" s="412"/>
      <c r="E34" s="381" t="s">
        <v>182</v>
      </c>
      <c r="F34" s="382"/>
      <c r="G34" s="225" t="s">
        <v>26</v>
      </c>
      <c r="H34" s="60">
        <v>418100</v>
      </c>
      <c r="I34" s="56"/>
      <c r="J34" s="57"/>
      <c r="K34" s="57"/>
      <c r="L34" s="58">
        <f t="shared" si="0"/>
        <v>418100</v>
      </c>
    </row>
    <row r="35" spans="1:12" x14ac:dyDescent="0.25">
      <c r="A35" s="375">
        <v>6</v>
      </c>
      <c r="B35" s="376"/>
      <c r="C35" s="375" t="s">
        <v>352</v>
      </c>
      <c r="D35" s="376"/>
      <c r="E35" s="381" t="s">
        <v>417</v>
      </c>
      <c r="F35" s="382"/>
      <c r="G35" s="225" t="s">
        <v>240</v>
      </c>
      <c r="H35" s="60">
        <v>8160000</v>
      </c>
      <c r="I35" s="56"/>
      <c r="J35" s="57"/>
      <c r="K35" s="57"/>
      <c r="L35" s="58">
        <f t="shared" si="0"/>
        <v>8160000</v>
      </c>
    </row>
    <row r="36" spans="1:12" x14ac:dyDescent="0.25">
      <c r="A36" s="375">
        <v>1</v>
      </c>
      <c r="B36" s="376"/>
      <c r="C36" s="411" t="s">
        <v>77</v>
      </c>
      <c r="D36" s="412"/>
      <c r="E36" s="381" t="s">
        <v>420</v>
      </c>
      <c r="F36" s="382"/>
      <c r="G36" s="225" t="s">
        <v>240</v>
      </c>
      <c r="H36" s="60">
        <v>751300</v>
      </c>
      <c r="I36" s="56"/>
      <c r="J36" s="57"/>
      <c r="K36" s="57"/>
      <c r="L36" s="58">
        <f t="shared" si="0"/>
        <v>751300</v>
      </c>
    </row>
    <row r="37" spans="1:12" x14ac:dyDescent="0.25">
      <c r="A37" s="375">
        <v>1</v>
      </c>
      <c r="B37" s="376"/>
      <c r="C37" s="379" t="s">
        <v>206</v>
      </c>
      <c r="D37" s="380"/>
      <c r="E37" s="381" t="s">
        <v>248</v>
      </c>
      <c r="F37" s="382"/>
      <c r="G37" s="225" t="s">
        <v>26</v>
      </c>
      <c r="H37" s="60">
        <v>787625</v>
      </c>
      <c r="I37" s="56"/>
      <c r="J37" s="57"/>
      <c r="K37" s="57"/>
      <c r="L37" s="58">
        <f t="shared" si="0"/>
        <v>787625</v>
      </c>
    </row>
    <row r="38" spans="1:12" x14ac:dyDescent="0.25">
      <c r="A38" s="375">
        <v>1</v>
      </c>
      <c r="B38" s="376"/>
      <c r="C38" s="379" t="s">
        <v>206</v>
      </c>
      <c r="D38" s="380"/>
      <c r="E38" s="381" t="s">
        <v>103</v>
      </c>
      <c r="F38" s="382"/>
      <c r="G38" s="225" t="s">
        <v>26</v>
      </c>
      <c r="H38" s="60">
        <v>1389700</v>
      </c>
      <c r="I38" s="56"/>
      <c r="J38" s="57"/>
      <c r="K38" s="57"/>
      <c r="L38" s="58">
        <f t="shared" si="0"/>
        <v>1389700</v>
      </c>
    </row>
    <row r="39" spans="1:12" x14ac:dyDescent="0.25">
      <c r="A39" s="375">
        <v>1</v>
      </c>
      <c r="B39" s="376"/>
      <c r="C39" s="322">
        <v>1</v>
      </c>
      <c r="D39" s="324"/>
      <c r="E39" s="392" t="s">
        <v>423</v>
      </c>
      <c r="F39" s="393"/>
      <c r="G39" s="225" t="s">
        <v>240</v>
      </c>
      <c r="H39" s="60">
        <v>1360600</v>
      </c>
      <c r="I39" s="56"/>
      <c r="J39" s="57"/>
      <c r="K39" s="57"/>
      <c r="L39" s="58">
        <f t="shared" si="0"/>
        <v>1360600</v>
      </c>
    </row>
    <row r="40" spans="1:12" x14ac:dyDescent="0.25">
      <c r="A40" s="375">
        <v>1</v>
      </c>
      <c r="B40" s="376"/>
      <c r="C40" s="322">
        <v>1</v>
      </c>
      <c r="D40" s="324"/>
      <c r="E40" s="392" t="s">
        <v>424</v>
      </c>
      <c r="F40" s="393"/>
      <c r="G40" s="225" t="s">
        <v>26</v>
      </c>
      <c r="H40" s="60">
        <v>696400</v>
      </c>
      <c r="I40" s="56"/>
      <c r="J40" s="57"/>
      <c r="K40" s="57"/>
      <c r="L40" s="58">
        <f t="shared" si="0"/>
        <v>696400</v>
      </c>
    </row>
    <row r="41" spans="1:12" x14ac:dyDescent="0.25">
      <c r="A41" s="375">
        <v>1</v>
      </c>
      <c r="B41" s="376"/>
      <c r="C41" s="322">
        <v>2</v>
      </c>
      <c r="D41" s="324"/>
      <c r="E41" s="392" t="s">
        <v>390</v>
      </c>
      <c r="F41" s="393"/>
      <c r="G41" s="225" t="s">
        <v>26</v>
      </c>
      <c r="H41" s="60">
        <v>440800</v>
      </c>
      <c r="I41" s="56"/>
      <c r="J41" s="57"/>
      <c r="K41" s="57"/>
      <c r="L41" s="58">
        <f t="shared" si="0"/>
        <v>440800</v>
      </c>
    </row>
    <row r="42" spans="1:12" x14ac:dyDescent="0.25">
      <c r="A42" s="390">
        <v>46072</v>
      </c>
      <c r="B42" s="391"/>
      <c r="C42" s="322">
        <v>1</v>
      </c>
      <c r="D42" s="324"/>
      <c r="E42" s="392" t="s">
        <v>64</v>
      </c>
      <c r="F42" s="393"/>
      <c r="G42" s="225" t="s">
        <v>26</v>
      </c>
      <c r="H42" s="60">
        <v>16400476</v>
      </c>
      <c r="I42" s="56"/>
      <c r="J42" s="57"/>
      <c r="K42" s="57"/>
      <c r="L42" s="58">
        <f t="shared" si="0"/>
        <v>16400476</v>
      </c>
    </row>
    <row r="43" spans="1:12" x14ac:dyDescent="0.25">
      <c r="A43" s="322"/>
      <c r="B43" s="324"/>
      <c r="C43" s="61" t="s">
        <v>45</v>
      </c>
      <c r="D43" s="62"/>
      <c r="E43" s="62"/>
      <c r="F43" s="62"/>
      <c r="G43" s="62"/>
      <c r="H43" s="63">
        <f>SUM(H15:H42)</f>
        <v>47363200</v>
      </c>
      <c r="I43" s="334"/>
      <c r="J43" s="335"/>
      <c r="K43" s="336"/>
      <c r="L43" s="63">
        <f>SUM(L15:L42)</f>
        <v>47363200</v>
      </c>
    </row>
    <row r="44" spans="1:12" x14ac:dyDescent="0.25">
      <c r="A44" s="64"/>
      <c r="B44" s="38"/>
      <c r="C44" s="29"/>
      <c r="D44" s="30"/>
      <c r="E44" s="30"/>
      <c r="F44" s="30"/>
      <c r="G44" s="30"/>
      <c r="H44" s="31"/>
      <c r="I44" s="31"/>
      <c r="J44" s="31"/>
      <c r="K44" s="31"/>
      <c r="L44" s="32"/>
    </row>
    <row r="45" spans="1:12" x14ac:dyDescent="0.25">
      <c r="A45" s="48" t="s">
        <v>46</v>
      </c>
      <c r="B45" s="38"/>
      <c r="C45" s="29"/>
      <c r="D45" s="30"/>
      <c r="E45" s="30"/>
      <c r="F45" s="30"/>
      <c r="G45" s="30"/>
      <c r="H45" s="31"/>
      <c r="I45" s="31"/>
      <c r="J45" s="31"/>
      <c r="K45" s="31"/>
      <c r="L45" s="32"/>
    </row>
    <row r="46" spans="1:12" x14ac:dyDescent="0.25">
      <c r="A46" s="48"/>
      <c r="B46" s="30"/>
      <c r="C46" s="30"/>
      <c r="D46" s="30"/>
      <c r="E46" s="30"/>
      <c r="F46" s="30"/>
      <c r="G46" s="30"/>
      <c r="H46" s="31"/>
      <c r="I46" s="31"/>
      <c r="J46" s="31"/>
      <c r="K46" s="31"/>
      <c r="L46" s="32"/>
    </row>
    <row r="47" spans="1:12" x14ac:dyDescent="0.25">
      <c r="A47" s="357" t="s">
        <v>47</v>
      </c>
      <c r="B47" s="358"/>
      <c r="C47" s="363" t="s">
        <v>48</v>
      </c>
      <c r="D47" s="364"/>
      <c r="E47" s="357" t="s">
        <v>49</v>
      </c>
      <c r="F47" s="369"/>
      <c r="G47" s="369"/>
      <c r="H47" s="369"/>
      <c r="I47" s="369"/>
      <c r="J47" s="369"/>
      <c r="K47" s="358"/>
      <c r="L47" s="372" t="s">
        <v>50</v>
      </c>
    </row>
    <row r="48" spans="1:12" x14ac:dyDescent="0.25">
      <c r="A48" s="359"/>
      <c r="B48" s="360"/>
      <c r="C48" s="365"/>
      <c r="D48" s="366"/>
      <c r="E48" s="359"/>
      <c r="F48" s="370"/>
      <c r="G48" s="370"/>
      <c r="H48" s="370"/>
      <c r="I48" s="370"/>
      <c r="J48" s="370"/>
      <c r="K48" s="360"/>
      <c r="L48" s="373"/>
    </row>
    <row r="49" spans="1:13" x14ac:dyDescent="0.25">
      <c r="A49" s="361"/>
      <c r="B49" s="362"/>
      <c r="C49" s="367"/>
      <c r="D49" s="368"/>
      <c r="E49" s="361"/>
      <c r="F49" s="371"/>
      <c r="G49" s="371"/>
      <c r="H49" s="371"/>
      <c r="I49" s="371"/>
      <c r="J49" s="371"/>
      <c r="K49" s="362"/>
      <c r="L49" s="374"/>
    </row>
    <row r="50" spans="1:13" x14ac:dyDescent="0.25">
      <c r="A50" s="352">
        <v>46041</v>
      </c>
      <c r="B50" s="353"/>
      <c r="C50" s="322">
        <v>1110</v>
      </c>
      <c r="D50" s="324"/>
      <c r="E50" s="354" t="s">
        <v>418</v>
      </c>
      <c r="F50" s="355"/>
      <c r="G50" s="355"/>
      <c r="H50" s="355"/>
      <c r="I50" s="355"/>
      <c r="J50" s="355"/>
      <c r="K50" s="356"/>
      <c r="L50" s="55">
        <v>7260000</v>
      </c>
    </row>
    <row r="51" spans="1:13" s="33" customFormat="1" x14ac:dyDescent="0.25">
      <c r="A51" s="352">
        <v>46042</v>
      </c>
      <c r="B51" s="353"/>
      <c r="C51" s="322">
        <v>1111</v>
      </c>
      <c r="D51" s="324"/>
      <c r="E51" s="354" t="s">
        <v>421</v>
      </c>
      <c r="F51" s="355"/>
      <c r="G51" s="355"/>
      <c r="H51" s="355"/>
      <c r="I51" s="355"/>
      <c r="J51" s="355"/>
      <c r="K51" s="356"/>
      <c r="L51" s="55">
        <v>7250000</v>
      </c>
    </row>
    <row r="52" spans="1:13" s="33" customFormat="1" x14ac:dyDescent="0.25">
      <c r="A52" s="352">
        <v>46051</v>
      </c>
      <c r="B52" s="353"/>
      <c r="C52" s="322">
        <v>2990</v>
      </c>
      <c r="D52" s="324"/>
      <c r="E52" s="354" t="s">
        <v>411</v>
      </c>
      <c r="F52" s="355"/>
      <c r="G52" s="355"/>
      <c r="H52" s="355"/>
      <c r="I52" s="355"/>
      <c r="J52" s="355"/>
      <c r="K52" s="356"/>
      <c r="L52" s="55">
        <v>9939000</v>
      </c>
    </row>
    <row r="53" spans="1:13" s="33" customFormat="1" x14ac:dyDescent="0.25">
      <c r="A53" s="352">
        <v>46053</v>
      </c>
      <c r="B53" s="353"/>
      <c r="C53" s="322">
        <v>2998</v>
      </c>
      <c r="D53" s="324"/>
      <c r="E53" s="354" t="s">
        <v>425</v>
      </c>
      <c r="F53" s="355"/>
      <c r="G53" s="355"/>
      <c r="H53" s="355"/>
      <c r="I53" s="355"/>
      <c r="J53" s="355"/>
      <c r="K53" s="356"/>
      <c r="L53" s="55">
        <v>5512000</v>
      </c>
    </row>
    <row r="54" spans="1:13" s="33" customFormat="1" x14ac:dyDescent="0.25">
      <c r="A54" s="352">
        <v>46053</v>
      </c>
      <c r="B54" s="353"/>
      <c r="C54" s="322">
        <v>3007</v>
      </c>
      <c r="D54" s="324"/>
      <c r="E54" s="354" t="s">
        <v>427</v>
      </c>
      <c r="F54" s="355"/>
      <c r="G54" s="355"/>
      <c r="H54" s="355"/>
      <c r="I54" s="355"/>
      <c r="J54" s="355"/>
      <c r="K54" s="356"/>
      <c r="L54" s="55">
        <v>6553000</v>
      </c>
    </row>
    <row r="55" spans="1:13" s="33" customFormat="1" x14ac:dyDescent="0.25">
      <c r="A55" s="352">
        <v>46053</v>
      </c>
      <c r="B55" s="353"/>
      <c r="C55" s="322">
        <v>3008</v>
      </c>
      <c r="D55" s="324"/>
      <c r="E55" s="354" t="s">
        <v>429</v>
      </c>
      <c r="F55" s="355"/>
      <c r="G55" s="355"/>
      <c r="H55" s="355"/>
      <c r="I55" s="355"/>
      <c r="J55" s="355"/>
      <c r="K55" s="356"/>
      <c r="L55" s="55">
        <v>10729200</v>
      </c>
    </row>
    <row r="56" spans="1:13" s="33" customFormat="1" x14ac:dyDescent="0.25">
      <c r="A56" s="352">
        <v>46062</v>
      </c>
      <c r="B56" s="353"/>
      <c r="C56" s="322" t="s">
        <v>100</v>
      </c>
      <c r="D56" s="324"/>
      <c r="E56" s="354" t="s">
        <v>416</v>
      </c>
      <c r="F56" s="355"/>
      <c r="G56" s="355"/>
      <c r="H56" s="355"/>
      <c r="I56" s="355"/>
      <c r="J56" s="355"/>
      <c r="K56" s="356"/>
      <c r="L56" s="55">
        <v>120000</v>
      </c>
    </row>
    <row r="57" spans="1:13" x14ac:dyDescent="0.25">
      <c r="A57" s="352"/>
      <c r="B57" s="353"/>
      <c r="C57" s="322"/>
      <c r="D57" s="324"/>
      <c r="E57" s="354"/>
      <c r="F57" s="355"/>
      <c r="G57" s="355"/>
      <c r="H57" s="355"/>
      <c r="I57" s="355"/>
      <c r="J57" s="355"/>
      <c r="K57" s="356"/>
      <c r="L57" s="55"/>
      <c r="M57" s="33"/>
    </row>
    <row r="58" spans="1:13" x14ac:dyDescent="0.25">
      <c r="A58" s="334" t="s">
        <v>51</v>
      </c>
      <c r="B58" s="335"/>
      <c r="C58" s="335"/>
      <c r="D58" s="335"/>
      <c r="E58" s="335"/>
      <c r="F58" s="335"/>
      <c r="G58" s="335"/>
      <c r="H58" s="335"/>
      <c r="I58" s="335"/>
      <c r="J58" s="335"/>
      <c r="K58" s="336"/>
      <c r="L58" s="63">
        <f>SUM(L50:L57)</f>
        <v>47363200</v>
      </c>
    </row>
    <row r="59" spans="1:13" x14ac:dyDescent="0.25">
      <c r="A59" s="65"/>
      <c r="B59" s="66"/>
      <c r="C59" s="66"/>
      <c r="D59" s="66"/>
      <c r="E59" s="66"/>
      <c r="F59" s="66"/>
      <c r="G59" s="66"/>
      <c r="H59" s="31"/>
      <c r="I59" s="31"/>
      <c r="J59" s="31"/>
      <c r="K59" s="31"/>
      <c r="L59" s="31"/>
    </row>
    <row r="60" spans="1:13" x14ac:dyDescent="0.25">
      <c r="A60" s="48" t="s">
        <v>52</v>
      </c>
      <c r="B60" s="30"/>
      <c r="C60" s="30"/>
      <c r="D60" s="30"/>
      <c r="E60" s="30"/>
      <c r="F60" s="30"/>
      <c r="G60" s="30"/>
      <c r="H60" s="31"/>
      <c r="I60" s="31"/>
      <c r="J60" s="31"/>
      <c r="K60" s="31"/>
      <c r="L60" s="31"/>
    </row>
    <row r="61" spans="1:13" x14ac:dyDescent="0.25">
      <c r="A61" s="44"/>
      <c r="B61" s="45"/>
      <c r="C61" s="45"/>
      <c r="D61" s="45"/>
      <c r="E61" s="45"/>
      <c r="F61" s="45"/>
      <c r="G61" s="45"/>
      <c r="H61" s="31"/>
      <c r="I61" s="31"/>
      <c r="J61" s="46"/>
      <c r="K61" s="46"/>
      <c r="L61" s="31"/>
    </row>
    <row r="62" spans="1:13" x14ac:dyDescent="0.25">
      <c r="A62" s="337" t="s">
        <v>53</v>
      </c>
      <c r="B62" s="338"/>
      <c r="C62" s="337" t="s">
        <v>54</v>
      </c>
      <c r="D62" s="338"/>
      <c r="E62" s="222" t="s">
        <v>55</v>
      </c>
      <c r="F62" s="68" t="s">
        <v>37</v>
      </c>
      <c r="G62" s="339"/>
      <c r="H62" s="340"/>
      <c r="I62" s="340"/>
      <c r="J62" s="340"/>
      <c r="K62" s="341"/>
      <c r="L62" s="348" t="s">
        <v>56</v>
      </c>
    </row>
    <row r="63" spans="1:13" x14ac:dyDescent="0.25">
      <c r="A63" s="316"/>
      <c r="B63" s="317"/>
      <c r="C63" s="350" t="s">
        <v>57</v>
      </c>
      <c r="D63" s="351"/>
      <c r="E63" s="69"/>
      <c r="F63" s="44"/>
      <c r="G63" s="342"/>
      <c r="H63" s="343"/>
      <c r="I63" s="343"/>
      <c r="J63" s="343"/>
      <c r="K63" s="344"/>
      <c r="L63" s="349"/>
    </row>
    <row r="64" spans="1:13" x14ac:dyDescent="0.25">
      <c r="A64" s="310"/>
      <c r="B64" s="312"/>
      <c r="C64" s="310"/>
      <c r="D64" s="312"/>
      <c r="E64" s="70"/>
      <c r="F64" s="224"/>
      <c r="G64" s="342"/>
      <c r="H64" s="343"/>
      <c r="I64" s="343"/>
      <c r="J64" s="343"/>
      <c r="K64" s="344"/>
      <c r="L64" s="55"/>
    </row>
    <row r="65" spans="1:13" x14ac:dyDescent="0.25">
      <c r="A65" s="310"/>
      <c r="B65" s="312"/>
      <c r="C65" s="310"/>
      <c r="D65" s="312"/>
      <c r="E65" s="70"/>
      <c r="F65" s="64"/>
      <c r="G65" s="345"/>
      <c r="H65" s="346"/>
      <c r="I65" s="346"/>
      <c r="J65" s="346"/>
      <c r="K65" s="347"/>
      <c r="L65" s="72"/>
    </row>
    <row r="66" spans="1:13" x14ac:dyDescent="0.25">
      <c r="A66" s="322" t="s">
        <v>41</v>
      </c>
      <c r="B66" s="323"/>
      <c r="C66" s="323"/>
      <c r="D66" s="323"/>
      <c r="E66" s="323"/>
      <c r="F66" s="323"/>
      <c r="G66" s="323"/>
      <c r="H66" s="323"/>
      <c r="I66" s="323"/>
      <c r="J66" s="323"/>
      <c r="K66" s="324"/>
      <c r="L66" s="73">
        <f>SUM(L64:L65)</f>
        <v>0</v>
      </c>
    </row>
    <row r="67" spans="1:13" x14ac:dyDescent="0.25">
      <c r="A67" s="325"/>
      <c r="B67" s="326"/>
      <c r="C67" s="326"/>
      <c r="D67" s="326"/>
      <c r="E67" s="326"/>
      <c r="F67" s="326"/>
      <c r="G67" s="326"/>
      <c r="H67" s="326"/>
      <c r="I67" s="326"/>
      <c r="J67" s="326"/>
      <c r="K67" s="326"/>
      <c r="L67" s="326"/>
    </row>
    <row r="68" spans="1:13" x14ac:dyDescent="0.25">
      <c r="A68" s="327" t="s">
        <v>58</v>
      </c>
      <c r="B68" s="328"/>
      <c r="C68" s="328"/>
      <c r="D68" s="328"/>
      <c r="E68" s="328"/>
      <c r="F68" s="328"/>
      <c r="G68" s="328"/>
      <c r="H68" s="328"/>
      <c r="I68" s="328"/>
      <c r="J68" s="329"/>
      <c r="K68" s="330">
        <f>K9+L43-L58-L66</f>
        <v>0</v>
      </c>
      <c r="L68" s="330"/>
    </row>
    <row r="69" spans="1:13" x14ac:dyDescent="0.25">
      <c r="A69" s="331"/>
      <c r="B69" s="332"/>
      <c r="C69" s="332"/>
      <c r="D69" s="332"/>
      <c r="E69" s="332"/>
      <c r="F69" s="332"/>
      <c r="G69" s="332"/>
      <c r="H69" s="332"/>
      <c r="I69" s="332"/>
      <c r="J69" s="332"/>
      <c r="K69" s="332"/>
      <c r="L69" s="333"/>
    </row>
    <row r="70" spans="1:13" x14ac:dyDescent="0.25">
      <c r="A70" s="305" t="s">
        <v>59</v>
      </c>
      <c r="B70" s="305"/>
      <c r="C70" s="305"/>
      <c r="D70" s="305"/>
      <c r="E70" s="305"/>
      <c r="F70" s="305" t="s">
        <v>60</v>
      </c>
      <c r="G70" s="305"/>
      <c r="H70" s="305"/>
      <c r="I70" s="306"/>
      <c r="J70" s="309" t="s">
        <v>61</v>
      </c>
      <c r="K70" s="309"/>
      <c r="L70" s="309"/>
    </row>
    <row r="71" spans="1:13" x14ac:dyDescent="0.25">
      <c r="A71" s="310"/>
      <c r="B71" s="311"/>
      <c r="C71" s="311"/>
      <c r="D71" s="311"/>
      <c r="E71" s="312"/>
      <c r="F71" s="310"/>
      <c r="G71" s="311"/>
      <c r="H71" s="312"/>
      <c r="I71" s="307"/>
      <c r="J71" s="313"/>
      <c r="K71" s="314"/>
      <c r="L71" s="315"/>
      <c r="M71" s="74"/>
    </row>
    <row r="72" spans="1:13" x14ac:dyDescent="0.25">
      <c r="A72" s="316"/>
      <c r="B72" s="317"/>
      <c r="C72" s="317"/>
      <c r="D72" s="317"/>
      <c r="E72" s="318"/>
      <c r="F72" s="316"/>
      <c r="G72" s="317"/>
      <c r="H72" s="318"/>
      <c r="I72" s="308"/>
      <c r="J72" s="319"/>
      <c r="K72" s="320"/>
      <c r="L72" s="321"/>
    </row>
    <row r="73" spans="1:13" x14ac:dyDescent="0.25">
      <c r="A73" s="33"/>
      <c r="B73" s="33"/>
      <c r="C73" s="33"/>
      <c r="D73" s="33"/>
      <c r="E73" s="33"/>
      <c r="F73" s="33"/>
      <c r="G73" s="33"/>
      <c r="H73" s="75"/>
      <c r="I73" s="75"/>
      <c r="J73" s="75"/>
      <c r="K73" s="75"/>
      <c r="L73" s="75"/>
    </row>
  </sheetData>
  <mergeCells count="152">
    <mergeCell ref="A37:B37"/>
    <mergeCell ref="C37:D37"/>
    <mergeCell ref="E37:F37"/>
    <mergeCell ref="A40:B40"/>
    <mergeCell ref="C40:D40"/>
    <mergeCell ref="E40:F40"/>
    <mergeCell ref="A70:E70"/>
    <mergeCell ref="F70:H70"/>
    <mergeCell ref="I70:I72"/>
    <mergeCell ref="A58:K58"/>
    <mergeCell ref="A62:B62"/>
    <mergeCell ref="C62:D62"/>
    <mergeCell ref="A56:B56"/>
    <mergeCell ref="C56:D56"/>
    <mergeCell ref="E56:K56"/>
    <mergeCell ref="A57:B57"/>
    <mergeCell ref="C57:D57"/>
    <mergeCell ref="E57:K57"/>
    <mergeCell ref="A54:B54"/>
    <mergeCell ref="C54:D54"/>
    <mergeCell ref="E54:K54"/>
    <mergeCell ref="A55:B55"/>
    <mergeCell ref="C55:D55"/>
    <mergeCell ref="E55:K55"/>
    <mergeCell ref="J70:L70"/>
    <mergeCell ref="A71:E71"/>
    <mergeCell ref="F71:H71"/>
    <mergeCell ref="J71:L71"/>
    <mergeCell ref="A72:E72"/>
    <mergeCell ref="F72:H72"/>
    <mergeCell ref="J72:L72"/>
    <mergeCell ref="C65:D65"/>
    <mergeCell ref="A66:K66"/>
    <mergeCell ref="A67:L67"/>
    <mergeCell ref="A68:J68"/>
    <mergeCell ref="K68:L68"/>
    <mergeCell ref="A69:L69"/>
    <mergeCell ref="G62:K65"/>
    <mergeCell ref="L62:L63"/>
    <mergeCell ref="A63:B63"/>
    <mergeCell ref="C63:D63"/>
    <mergeCell ref="A64:B64"/>
    <mergeCell ref="C64:D64"/>
    <mergeCell ref="A65:B65"/>
    <mergeCell ref="A52:B52"/>
    <mergeCell ref="C52:D52"/>
    <mergeCell ref="E52:K52"/>
    <mergeCell ref="A53:B53"/>
    <mergeCell ref="C53:D53"/>
    <mergeCell ref="E53:K53"/>
    <mergeCell ref="A50:B50"/>
    <mergeCell ref="C50:D50"/>
    <mergeCell ref="E50:K50"/>
    <mergeCell ref="A51:B51"/>
    <mergeCell ref="C51:D51"/>
    <mergeCell ref="E51:K51"/>
    <mergeCell ref="A43:B43"/>
    <mergeCell ref="I43:K43"/>
    <mergeCell ref="A47:B49"/>
    <mergeCell ref="C47:D49"/>
    <mergeCell ref="E47:K49"/>
    <mergeCell ref="L47:L49"/>
    <mergeCell ref="A38:B38"/>
    <mergeCell ref="C38:D38"/>
    <mergeCell ref="E38:F38"/>
    <mergeCell ref="A39:B39"/>
    <mergeCell ref="C39:D39"/>
    <mergeCell ref="E39:F39"/>
    <mergeCell ref="A41:B41"/>
    <mergeCell ref="C41:D41"/>
    <mergeCell ref="E41:F41"/>
    <mergeCell ref="A42:B42"/>
    <mergeCell ref="C42:D42"/>
    <mergeCell ref="E42:F42"/>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4"/>
  <sheetViews>
    <sheetView topLeftCell="A41" workbookViewId="0">
      <selection activeCell="A44" sqref="A44:F44"/>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30" t="s">
        <v>27</v>
      </c>
      <c r="B6" s="235" t="s">
        <v>28</v>
      </c>
      <c r="C6" s="235" t="s">
        <v>29</v>
      </c>
      <c r="D6" s="30"/>
      <c r="E6" s="30"/>
      <c r="F6" s="30"/>
      <c r="G6" s="30"/>
      <c r="H6" s="31"/>
      <c r="I6" s="31"/>
      <c r="J6" s="31"/>
      <c r="K6" s="31"/>
      <c r="L6" s="32"/>
    </row>
    <row r="7" spans="1:12" x14ac:dyDescent="0.25">
      <c r="A7" s="41" t="s">
        <v>431</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33" t="s">
        <v>40</v>
      </c>
      <c r="K13" s="233" t="s">
        <v>40</v>
      </c>
      <c r="L13" s="233" t="s">
        <v>41</v>
      </c>
    </row>
    <row r="14" spans="1:12" x14ac:dyDescent="0.25">
      <c r="A14" s="396"/>
      <c r="B14" s="397"/>
      <c r="C14" s="396"/>
      <c r="D14" s="397"/>
      <c r="E14" s="361"/>
      <c r="F14" s="362"/>
      <c r="G14" s="399"/>
      <c r="H14" s="399"/>
      <c r="I14" s="399"/>
      <c r="J14" s="234" t="s">
        <v>42</v>
      </c>
      <c r="K14" s="234" t="s">
        <v>43</v>
      </c>
      <c r="L14" s="234" t="s">
        <v>44</v>
      </c>
    </row>
    <row r="15" spans="1:12" x14ac:dyDescent="0.25">
      <c r="A15" s="385">
        <v>1</v>
      </c>
      <c r="B15" s="384"/>
      <c r="C15" s="386" t="s">
        <v>77</v>
      </c>
      <c r="D15" s="386"/>
      <c r="E15" s="383" t="s">
        <v>462</v>
      </c>
      <c r="F15" s="383"/>
      <c r="G15" s="59" t="s">
        <v>26</v>
      </c>
      <c r="H15" s="55">
        <v>582754</v>
      </c>
      <c r="I15" s="56"/>
      <c r="J15" s="57"/>
      <c r="K15" s="57"/>
      <c r="L15" s="58">
        <f t="shared" ref="L15:L44" si="0">H15</f>
        <v>582754</v>
      </c>
    </row>
    <row r="16" spans="1:12" x14ac:dyDescent="0.25">
      <c r="A16" s="385">
        <v>1</v>
      </c>
      <c r="B16" s="384"/>
      <c r="C16" s="386" t="s">
        <v>80</v>
      </c>
      <c r="D16" s="386"/>
      <c r="E16" s="383" t="s">
        <v>462</v>
      </c>
      <c r="F16" s="383"/>
      <c r="G16" s="59" t="s">
        <v>26</v>
      </c>
      <c r="H16" s="55">
        <v>566641</v>
      </c>
      <c r="I16" s="56"/>
      <c r="J16" s="57"/>
      <c r="K16" s="57"/>
      <c r="L16" s="58">
        <f t="shared" si="0"/>
        <v>566641</v>
      </c>
    </row>
    <row r="17" spans="1:12" x14ac:dyDescent="0.25">
      <c r="A17" s="387" t="s">
        <v>77</v>
      </c>
      <c r="B17" s="386"/>
      <c r="C17" s="386" t="s">
        <v>142</v>
      </c>
      <c r="D17" s="386"/>
      <c r="E17" s="388" t="s">
        <v>462</v>
      </c>
      <c r="F17" s="389"/>
      <c r="G17" s="232" t="s">
        <v>26</v>
      </c>
      <c r="H17" s="60">
        <v>549990</v>
      </c>
      <c r="I17" s="56"/>
      <c r="J17" s="57"/>
      <c r="K17" s="57"/>
      <c r="L17" s="58">
        <f t="shared" si="0"/>
        <v>549990</v>
      </c>
    </row>
    <row r="18" spans="1:12" x14ac:dyDescent="0.25">
      <c r="A18" s="387" t="s">
        <v>77</v>
      </c>
      <c r="B18" s="386"/>
      <c r="C18" s="384">
        <v>4</v>
      </c>
      <c r="D18" s="384"/>
      <c r="E18" s="388" t="s">
        <v>462</v>
      </c>
      <c r="F18" s="389"/>
      <c r="G18" s="232" t="s">
        <v>26</v>
      </c>
      <c r="H18" s="55">
        <v>537100</v>
      </c>
      <c r="I18" s="56"/>
      <c r="J18" s="57"/>
      <c r="K18" s="57"/>
      <c r="L18" s="58">
        <f t="shared" si="0"/>
        <v>537100</v>
      </c>
    </row>
    <row r="19" spans="1:12" x14ac:dyDescent="0.25">
      <c r="A19" s="387" t="s">
        <v>77</v>
      </c>
      <c r="B19" s="386"/>
      <c r="C19" s="384">
        <v>1</v>
      </c>
      <c r="D19" s="384"/>
      <c r="E19" s="388" t="s">
        <v>463</v>
      </c>
      <c r="F19" s="389"/>
      <c r="G19" s="232" t="s">
        <v>26</v>
      </c>
      <c r="H19" s="55">
        <v>300384</v>
      </c>
      <c r="I19" s="56"/>
      <c r="J19" s="57"/>
      <c r="K19" s="57"/>
      <c r="L19" s="58">
        <f t="shared" si="0"/>
        <v>300384</v>
      </c>
    </row>
    <row r="20" spans="1:12" x14ac:dyDescent="0.25">
      <c r="A20" s="387" t="s">
        <v>77</v>
      </c>
      <c r="B20" s="386"/>
      <c r="C20" s="379" t="s">
        <v>80</v>
      </c>
      <c r="D20" s="380"/>
      <c r="E20" s="392" t="s">
        <v>377</v>
      </c>
      <c r="F20" s="393"/>
      <c r="G20" s="232" t="s">
        <v>26</v>
      </c>
      <c r="H20" s="55">
        <v>575340</v>
      </c>
      <c r="I20" s="56"/>
      <c r="J20" s="57"/>
      <c r="K20" s="57"/>
      <c r="L20" s="58">
        <f t="shared" si="0"/>
        <v>575340</v>
      </c>
    </row>
    <row r="21" spans="1:12" x14ac:dyDescent="0.25">
      <c r="A21" s="385">
        <v>1</v>
      </c>
      <c r="B21" s="384"/>
      <c r="C21" s="386" t="s">
        <v>142</v>
      </c>
      <c r="D21" s="386"/>
      <c r="E21" s="383" t="s">
        <v>377</v>
      </c>
      <c r="F21" s="383"/>
      <c r="G21" s="59" t="s">
        <v>26</v>
      </c>
      <c r="H21" s="55">
        <v>557500</v>
      </c>
      <c r="I21" s="56"/>
      <c r="J21" s="57"/>
      <c r="K21" s="57"/>
      <c r="L21" s="58">
        <f t="shared" si="0"/>
        <v>557500</v>
      </c>
    </row>
    <row r="22" spans="1:12" x14ac:dyDescent="0.25">
      <c r="A22" s="375">
        <v>1</v>
      </c>
      <c r="B22" s="376"/>
      <c r="C22" s="322">
        <v>3</v>
      </c>
      <c r="D22" s="324"/>
      <c r="E22" s="383" t="s">
        <v>359</v>
      </c>
      <c r="F22" s="383"/>
      <c r="G22" s="59" t="s">
        <v>26</v>
      </c>
      <c r="H22" s="55">
        <v>365300</v>
      </c>
      <c r="I22" s="56"/>
      <c r="J22" s="57"/>
      <c r="K22" s="57"/>
      <c r="L22" s="58">
        <f t="shared" si="0"/>
        <v>365300</v>
      </c>
    </row>
    <row r="23" spans="1:12" x14ac:dyDescent="0.25">
      <c r="A23" s="375">
        <v>1</v>
      </c>
      <c r="B23" s="376"/>
      <c r="C23" s="384">
        <v>10</v>
      </c>
      <c r="D23" s="384"/>
      <c r="E23" s="383" t="s">
        <v>136</v>
      </c>
      <c r="F23" s="383"/>
      <c r="G23" s="59" t="s">
        <v>26</v>
      </c>
      <c r="H23" s="55">
        <v>656200</v>
      </c>
      <c r="I23" s="56"/>
      <c r="J23" s="57"/>
      <c r="K23" s="57"/>
      <c r="L23" s="58">
        <f t="shared" si="0"/>
        <v>656200</v>
      </c>
    </row>
    <row r="24" spans="1:12" x14ac:dyDescent="0.25">
      <c r="A24" s="375">
        <v>1</v>
      </c>
      <c r="B24" s="376"/>
      <c r="C24" s="379" t="s">
        <v>217</v>
      </c>
      <c r="D24" s="380"/>
      <c r="E24" s="392" t="s">
        <v>180</v>
      </c>
      <c r="F24" s="393"/>
      <c r="G24" s="59" t="s">
        <v>26</v>
      </c>
      <c r="H24" s="55">
        <v>600000</v>
      </c>
      <c r="I24" s="56"/>
      <c r="J24" s="57"/>
      <c r="K24" s="57"/>
      <c r="L24" s="58">
        <f t="shared" si="0"/>
        <v>600000</v>
      </c>
    </row>
    <row r="25" spans="1:12" x14ac:dyDescent="0.25">
      <c r="A25" s="375">
        <v>1</v>
      </c>
      <c r="B25" s="376"/>
      <c r="C25" s="379" t="s">
        <v>74</v>
      </c>
      <c r="D25" s="380"/>
      <c r="E25" s="381" t="s">
        <v>107</v>
      </c>
      <c r="F25" s="382"/>
      <c r="G25" s="59" t="s">
        <v>26</v>
      </c>
      <c r="H25" s="55">
        <v>647537</v>
      </c>
      <c r="I25" s="56"/>
      <c r="J25" s="57"/>
      <c r="K25" s="57"/>
      <c r="L25" s="58">
        <f t="shared" si="0"/>
        <v>647537</v>
      </c>
    </row>
    <row r="26" spans="1:12" x14ac:dyDescent="0.25">
      <c r="A26" s="375">
        <v>1</v>
      </c>
      <c r="B26" s="376"/>
      <c r="C26" s="379" t="s">
        <v>77</v>
      </c>
      <c r="D26" s="380"/>
      <c r="E26" s="413" t="s">
        <v>468</v>
      </c>
      <c r="F26" s="414"/>
      <c r="G26" s="59" t="s">
        <v>240</v>
      </c>
      <c r="H26" s="55">
        <v>649000</v>
      </c>
      <c r="I26" s="56"/>
      <c r="J26" s="57"/>
      <c r="K26" s="57"/>
      <c r="L26" s="58">
        <f t="shared" si="0"/>
        <v>649000</v>
      </c>
    </row>
    <row r="27" spans="1:12" x14ac:dyDescent="0.25">
      <c r="A27" s="375">
        <v>1</v>
      </c>
      <c r="B27" s="376"/>
      <c r="C27" s="322">
        <v>2</v>
      </c>
      <c r="D27" s="324"/>
      <c r="E27" s="381" t="s">
        <v>386</v>
      </c>
      <c r="F27" s="382"/>
      <c r="G27" s="232" t="s">
        <v>26</v>
      </c>
      <c r="H27" s="60">
        <v>1421200</v>
      </c>
      <c r="I27" s="56"/>
      <c r="J27" s="57"/>
      <c r="K27" s="57"/>
      <c r="L27" s="58">
        <f t="shared" si="0"/>
        <v>1421200</v>
      </c>
    </row>
    <row r="28" spans="1:12" x14ac:dyDescent="0.25">
      <c r="A28" s="375">
        <v>1</v>
      </c>
      <c r="B28" s="376"/>
      <c r="C28" s="322">
        <v>5</v>
      </c>
      <c r="D28" s="324"/>
      <c r="E28" s="383" t="s">
        <v>276</v>
      </c>
      <c r="F28" s="383"/>
      <c r="G28" s="232" t="s">
        <v>26</v>
      </c>
      <c r="H28" s="60">
        <v>894154</v>
      </c>
      <c r="I28" s="56"/>
      <c r="J28" s="57"/>
      <c r="K28" s="57"/>
      <c r="L28" s="58">
        <f t="shared" si="0"/>
        <v>894154</v>
      </c>
    </row>
    <row r="29" spans="1:12" x14ac:dyDescent="0.25">
      <c r="A29" s="375">
        <v>1</v>
      </c>
      <c r="B29" s="376"/>
      <c r="C29" s="379" t="s">
        <v>74</v>
      </c>
      <c r="D29" s="380"/>
      <c r="E29" s="377" t="s">
        <v>134</v>
      </c>
      <c r="F29" s="378"/>
      <c r="G29" s="232" t="s">
        <v>26</v>
      </c>
      <c r="H29" s="60">
        <v>317700</v>
      </c>
      <c r="I29" s="56"/>
      <c r="J29" s="57"/>
      <c r="K29" s="57"/>
      <c r="L29" s="58">
        <f t="shared" si="0"/>
        <v>317700</v>
      </c>
    </row>
    <row r="30" spans="1:12" x14ac:dyDescent="0.25">
      <c r="A30" s="375">
        <v>1</v>
      </c>
      <c r="B30" s="376"/>
      <c r="C30" s="411" t="s">
        <v>188</v>
      </c>
      <c r="D30" s="412"/>
      <c r="E30" s="381" t="s">
        <v>305</v>
      </c>
      <c r="F30" s="382"/>
      <c r="G30" s="232" t="s">
        <v>26</v>
      </c>
      <c r="H30" s="60">
        <v>1526600</v>
      </c>
      <c r="I30" s="56"/>
      <c r="J30" s="57"/>
      <c r="K30" s="57"/>
      <c r="L30" s="58">
        <f t="shared" si="0"/>
        <v>1526600</v>
      </c>
    </row>
    <row r="31" spans="1:12" x14ac:dyDescent="0.25">
      <c r="A31" s="375">
        <v>1</v>
      </c>
      <c r="B31" s="376"/>
      <c r="C31" s="375">
        <v>3</v>
      </c>
      <c r="D31" s="376"/>
      <c r="E31" s="381" t="s">
        <v>358</v>
      </c>
      <c r="F31" s="382"/>
      <c r="G31" s="232" t="s">
        <v>26</v>
      </c>
      <c r="H31" s="60">
        <v>1379900</v>
      </c>
      <c r="I31" s="56"/>
      <c r="J31" s="57"/>
      <c r="K31" s="57"/>
      <c r="L31" s="58">
        <f t="shared" si="0"/>
        <v>1379900</v>
      </c>
    </row>
    <row r="32" spans="1:12" x14ac:dyDescent="0.25">
      <c r="A32" s="375">
        <v>1</v>
      </c>
      <c r="B32" s="376"/>
      <c r="C32" s="375">
        <v>8</v>
      </c>
      <c r="D32" s="376"/>
      <c r="E32" s="381" t="s">
        <v>193</v>
      </c>
      <c r="F32" s="382"/>
      <c r="G32" s="232" t="s">
        <v>26</v>
      </c>
      <c r="H32" s="60">
        <v>904200</v>
      </c>
      <c r="I32" s="56"/>
      <c r="J32" s="57"/>
      <c r="K32" s="57"/>
      <c r="L32" s="58">
        <f t="shared" si="0"/>
        <v>904200</v>
      </c>
    </row>
    <row r="33" spans="1:12" x14ac:dyDescent="0.25">
      <c r="A33" s="375">
        <v>1</v>
      </c>
      <c r="B33" s="376"/>
      <c r="C33" s="411" t="s">
        <v>80</v>
      </c>
      <c r="D33" s="412"/>
      <c r="E33" s="381" t="s">
        <v>402</v>
      </c>
      <c r="F33" s="382"/>
      <c r="G33" s="232" t="s">
        <v>26</v>
      </c>
      <c r="H33" s="60">
        <v>1091100</v>
      </c>
      <c r="I33" s="56"/>
      <c r="J33" s="57"/>
      <c r="K33" s="57"/>
      <c r="L33" s="58">
        <f t="shared" si="0"/>
        <v>1091100</v>
      </c>
    </row>
    <row r="34" spans="1:12" x14ac:dyDescent="0.25">
      <c r="A34" s="375">
        <v>1</v>
      </c>
      <c r="B34" s="376"/>
      <c r="C34" s="411" t="s">
        <v>142</v>
      </c>
      <c r="D34" s="412"/>
      <c r="E34" s="381" t="s">
        <v>381</v>
      </c>
      <c r="F34" s="382"/>
      <c r="G34" s="232" t="s">
        <v>26</v>
      </c>
      <c r="H34" s="60">
        <v>308200</v>
      </c>
      <c r="I34" s="56"/>
      <c r="J34" s="57"/>
      <c r="K34" s="57"/>
      <c r="L34" s="58">
        <f t="shared" si="0"/>
        <v>308200</v>
      </c>
    </row>
    <row r="35" spans="1:12" x14ac:dyDescent="0.25">
      <c r="A35" s="375">
        <v>1</v>
      </c>
      <c r="B35" s="376"/>
      <c r="C35" s="375">
        <v>6</v>
      </c>
      <c r="D35" s="376"/>
      <c r="E35" s="381" t="s">
        <v>270</v>
      </c>
      <c r="F35" s="382"/>
      <c r="G35" s="232" t="s">
        <v>26</v>
      </c>
      <c r="H35" s="60">
        <v>1949300</v>
      </c>
      <c r="I35" s="56"/>
      <c r="J35" s="57"/>
      <c r="K35" s="57"/>
      <c r="L35" s="58">
        <f t="shared" si="0"/>
        <v>1949300</v>
      </c>
    </row>
    <row r="36" spans="1:12" x14ac:dyDescent="0.25">
      <c r="A36" s="375">
        <v>1</v>
      </c>
      <c r="B36" s="376"/>
      <c r="C36" s="411" t="s">
        <v>206</v>
      </c>
      <c r="D36" s="412"/>
      <c r="E36" s="381" t="s">
        <v>222</v>
      </c>
      <c r="F36" s="382"/>
      <c r="G36" s="232" t="s">
        <v>26</v>
      </c>
      <c r="H36" s="60">
        <v>669270</v>
      </c>
      <c r="I36" s="56"/>
      <c r="J36" s="57"/>
      <c r="K36" s="57"/>
      <c r="L36" s="58">
        <f t="shared" si="0"/>
        <v>669270</v>
      </c>
    </row>
    <row r="37" spans="1:12" x14ac:dyDescent="0.25">
      <c r="A37" s="375">
        <v>1</v>
      </c>
      <c r="B37" s="376"/>
      <c r="C37" s="379" t="s">
        <v>273</v>
      </c>
      <c r="D37" s="380"/>
      <c r="E37" s="381" t="s">
        <v>106</v>
      </c>
      <c r="F37" s="382"/>
      <c r="G37" s="232" t="s">
        <v>26</v>
      </c>
      <c r="H37" s="60">
        <v>418100</v>
      </c>
      <c r="I37" s="56"/>
      <c r="J37" s="57"/>
      <c r="K37" s="57"/>
      <c r="L37" s="58">
        <f t="shared" si="0"/>
        <v>418100</v>
      </c>
    </row>
    <row r="38" spans="1:12" x14ac:dyDescent="0.25">
      <c r="A38" s="375">
        <v>1</v>
      </c>
      <c r="B38" s="376"/>
      <c r="C38" s="379" t="s">
        <v>217</v>
      </c>
      <c r="D38" s="380"/>
      <c r="E38" s="381" t="s">
        <v>194</v>
      </c>
      <c r="F38" s="382"/>
      <c r="G38" s="232" t="s">
        <v>26</v>
      </c>
      <c r="H38" s="60">
        <v>728700</v>
      </c>
      <c r="I38" s="56"/>
      <c r="J38" s="57"/>
      <c r="K38" s="57"/>
      <c r="L38" s="58">
        <f t="shared" si="0"/>
        <v>728700</v>
      </c>
    </row>
    <row r="39" spans="1:12" x14ac:dyDescent="0.25">
      <c r="A39" s="375">
        <v>1</v>
      </c>
      <c r="B39" s="376"/>
      <c r="C39" s="322">
        <v>7</v>
      </c>
      <c r="D39" s="324"/>
      <c r="E39" s="392" t="s">
        <v>227</v>
      </c>
      <c r="F39" s="393"/>
      <c r="G39" s="232" t="s">
        <v>26</v>
      </c>
      <c r="H39" s="60">
        <v>578500</v>
      </c>
      <c r="I39" s="56"/>
      <c r="J39" s="57"/>
      <c r="K39" s="57"/>
      <c r="L39" s="58">
        <f t="shared" si="0"/>
        <v>578500</v>
      </c>
    </row>
    <row r="40" spans="1:12" x14ac:dyDescent="0.25">
      <c r="A40" s="375">
        <v>1</v>
      </c>
      <c r="B40" s="376"/>
      <c r="C40" s="322">
        <v>11</v>
      </c>
      <c r="D40" s="324"/>
      <c r="E40" s="392" t="s">
        <v>104</v>
      </c>
      <c r="F40" s="393"/>
      <c r="G40" s="232" t="s">
        <v>26</v>
      </c>
      <c r="H40" s="60">
        <v>437069</v>
      </c>
      <c r="I40" s="56"/>
      <c r="J40" s="57"/>
      <c r="K40" s="57"/>
      <c r="L40" s="58">
        <f t="shared" si="0"/>
        <v>437069</v>
      </c>
    </row>
    <row r="41" spans="1:12" x14ac:dyDescent="0.25">
      <c r="A41" s="375">
        <v>1</v>
      </c>
      <c r="B41" s="376"/>
      <c r="C41" s="322">
        <v>3</v>
      </c>
      <c r="D41" s="324"/>
      <c r="E41" s="392" t="s">
        <v>403</v>
      </c>
      <c r="F41" s="393"/>
      <c r="G41" s="242" t="s">
        <v>240</v>
      </c>
      <c r="H41" s="60">
        <v>1360600</v>
      </c>
      <c r="I41" s="56"/>
      <c r="J41" s="57"/>
      <c r="K41" s="57"/>
      <c r="L41" s="58">
        <f t="shared" si="0"/>
        <v>1360600</v>
      </c>
    </row>
    <row r="42" spans="1:12" x14ac:dyDescent="0.25">
      <c r="A42" s="375">
        <v>1</v>
      </c>
      <c r="B42" s="376"/>
      <c r="C42" s="322">
        <v>1</v>
      </c>
      <c r="D42" s="324"/>
      <c r="E42" s="392" t="s">
        <v>466</v>
      </c>
      <c r="F42" s="393"/>
      <c r="G42" s="232" t="s">
        <v>26</v>
      </c>
      <c r="H42" s="60">
        <v>861400</v>
      </c>
      <c r="I42" s="56"/>
      <c r="J42" s="57"/>
      <c r="K42" s="57"/>
      <c r="L42" s="58">
        <f t="shared" si="0"/>
        <v>861400</v>
      </c>
    </row>
    <row r="43" spans="1:12" x14ac:dyDescent="0.25">
      <c r="A43" s="375">
        <v>1</v>
      </c>
      <c r="B43" s="376"/>
      <c r="C43" s="322">
        <v>5</v>
      </c>
      <c r="D43" s="324"/>
      <c r="E43" s="392" t="s">
        <v>286</v>
      </c>
      <c r="F43" s="393"/>
      <c r="G43" s="232" t="s">
        <v>26</v>
      </c>
      <c r="H43" s="60">
        <v>1007800</v>
      </c>
      <c r="I43" s="56"/>
      <c r="J43" s="57"/>
      <c r="K43" s="57"/>
      <c r="L43" s="58">
        <f t="shared" si="0"/>
        <v>1007800</v>
      </c>
    </row>
    <row r="44" spans="1:12" x14ac:dyDescent="0.25">
      <c r="A44" s="390">
        <v>46159</v>
      </c>
      <c r="B44" s="391"/>
      <c r="C44" s="322">
        <v>1</v>
      </c>
      <c r="D44" s="324"/>
      <c r="E44" s="392" t="s">
        <v>64</v>
      </c>
      <c r="F44" s="393"/>
      <c r="G44" s="242" t="s">
        <v>26</v>
      </c>
      <c r="H44" s="60">
        <v>77197461</v>
      </c>
      <c r="I44" s="190"/>
      <c r="J44" s="191"/>
      <c r="K44" s="192"/>
      <c r="L44" s="58">
        <f t="shared" si="0"/>
        <v>77197461</v>
      </c>
    </row>
    <row r="45" spans="1:12" x14ac:dyDescent="0.25">
      <c r="A45" s="322"/>
      <c r="B45" s="324"/>
      <c r="C45" s="61" t="s">
        <v>45</v>
      </c>
      <c r="D45" s="62"/>
      <c r="E45" s="62"/>
      <c r="F45" s="62"/>
      <c r="G45" s="62"/>
      <c r="H45" s="63">
        <f>SUM(H15:H44)</f>
        <v>99639000</v>
      </c>
      <c r="I45" s="334"/>
      <c r="J45" s="335"/>
      <c r="K45" s="336"/>
      <c r="L45" s="63">
        <f>SUM(L15:L44)</f>
        <v>99639000</v>
      </c>
    </row>
    <row r="46" spans="1:12" x14ac:dyDescent="0.25">
      <c r="A46" s="64"/>
      <c r="B46" s="38"/>
      <c r="C46" s="29"/>
      <c r="D46" s="30"/>
      <c r="E46" s="30"/>
      <c r="F46" s="30"/>
      <c r="G46" s="30"/>
      <c r="H46" s="31"/>
      <c r="I46" s="31"/>
      <c r="J46" s="31"/>
      <c r="K46" s="31"/>
      <c r="L46" s="32"/>
    </row>
    <row r="47" spans="1:12" x14ac:dyDescent="0.25">
      <c r="A47" s="48" t="s">
        <v>46</v>
      </c>
      <c r="B47" s="38"/>
      <c r="C47" s="29"/>
      <c r="D47" s="30"/>
      <c r="E47" s="30"/>
      <c r="F47" s="30"/>
      <c r="G47" s="30"/>
      <c r="H47" s="31"/>
      <c r="I47" s="31"/>
      <c r="J47" s="31"/>
      <c r="K47" s="31"/>
      <c r="L47" s="32"/>
    </row>
    <row r="48" spans="1:12" x14ac:dyDescent="0.25">
      <c r="A48" s="48"/>
      <c r="B48" s="30"/>
      <c r="C48" s="30"/>
      <c r="D48" s="30"/>
      <c r="E48" s="30"/>
      <c r="F48" s="30"/>
      <c r="G48" s="30"/>
      <c r="H48" s="31"/>
      <c r="I48" s="31"/>
      <c r="J48" s="31"/>
      <c r="K48" s="31"/>
      <c r="L48" s="32"/>
    </row>
    <row r="49" spans="1:12" x14ac:dyDescent="0.25">
      <c r="A49" s="357" t="s">
        <v>47</v>
      </c>
      <c r="B49" s="358"/>
      <c r="C49" s="363" t="s">
        <v>48</v>
      </c>
      <c r="D49" s="364"/>
      <c r="E49" s="357" t="s">
        <v>49</v>
      </c>
      <c r="F49" s="369"/>
      <c r="G49" s="369"/>
      <c r="H49" s="369"/>
      <c r="I49" s="369"/>
      <c r="J49" s="369"/>
      <c r="K49" s="358"/>
      <c r="L49" s="372" t="s">
        <v>50</v>
      </c>
    </row>
    <row r="50" spans="1:12" x14ac:dyDescent="0.25">
      <c r="A50" s="359"/>
      <c r="B50" s="360"/>
      <c r="C50" s="365"/>
      <c r="D50" s="366"/>
      <c r="E50" s="359"/>
      <c r="F50" s="370"/>
      <c r="G50" s="370"/>
      <c r="H50" s="370"/>
      <c r="I50" s="370"/>
      <c r="J50" s="370"/>
      <c r="K50" s="360"/>
      <c r="L50" s="373"/>
    </row>
    <row r="51" spans="1:12" x14ac:dyDescent="0.25">
      <c r="A51" s="361"/>
      <c r="B51" s="362"/>
      <c r="C51" s="367"/>
      <c r="D51" s="368"/>
      <c r="E51" s="361"/>
      <c r="F51" s="371"/>
      <c r="G51" s="371"/>
      <c r="H51" s="371"/>
      <c r="I51" s="371"/>
      <c r="J51" s="371"/>
      <c r="K51" s="362"/>
      <c r="L51" s="374"/>
    </row>
    <row r="52" spans="1:12" x14ac:dyDescent="0.25">
      <c r="A52" s="352">
        <v>46043</v>
      </c>
      <c r="B52" s="353"/>
      <c r="C52" s="322">
        <v>1112</v>
      </c>
      <c r="D52" s="324"/>
      <c r="E52" s="354" t="s">
        <v>465</v>
      </c>
      <c r="F52" s="355"/>
      <c r="G52" s="355"/>
      <c r="H52" s="355"/>
      <c r="I52" s="355"/>
      <c r="J52" s="355"/>
      <c r="K52" s="356"/>
      <c r="L52" s="55">
        <v>8560000</v>
      </c>
    </row>
    <row r="53" spans="1:12" x14ac:dyDescent="0.25">
      <c r="A53" s="352">
        <v>46071</v>
      </c>
      <c r="B53" s="353"/>
      <c r="C53" s="322">
        <v>3060</v>
      </c>
      <c r="D53" s="324"/>
      <c r="E53" s="354" t="s">
        <v>433</v>
      </c>
      <c r="F53" s="355"/>
      <c r="G53" s="355"/>
      <c r="H53" s="355"/>
      <c r="I53" s="355"/>
      <c r="J53" s="355"/>
      <c r="K53" s="356"/>
      <c r="L53" s="55">
        <v>8225000</v>
      </c>
    </row>
    <row r="54" spans="1:12" x14ac:dyDescent="0.25">
      <c r="A54" s="352">
        <v>46072</v>
      </c>
      <c r="B54" s="353"/>
      <c r="C54" s="322">
        <v>3062</v>
      </c>
      <c r="D54" s="324"/>
      <c r="E54" s="354" t="s">
        <v>434</v>
      </c>
      <c r="F54" s="355"/>
      <c r="G54" s="355"/>
      <c r="H54" s="355"/>
      <c r="I54" s="355"/>
      <c r="J54" s="355"/>
      <c r="K54" s="356"/>
      <c r="L54" s="55">
        <v>5964000</v>
      </c>
    </row>
    <row r="55" spans="1:12" x14ac:dyDescent="0.25">
      <c r="A55" s="352">
        <v>46073</v>
      </c>
      <c r="B55" s="353"/>
      <c r="C55" s="322">
        <v>3038</v>
      </c>
      <c r="D55" s="324"/>
      <c r="E55" s="354" t="s">
        <v>436</v>
      </c>
      <c r="F55" s="355"/>
      <c r="G55" s="355"/>
      <c r="H55" s="355"/>
      <c r="I55" s="355"/>
      <c r="J55" s="355"/>
      <c r="K55" s="356"/>
      <c r="L55" s="55">
        <v>5940000</v>
      </c>
    </row>
    <row r="56" spans="1:12" x14ac:dyDescent="0.25">
      <c r="A56" s="352">
        <v>46080</v>
      </c>
      <c r="B56" s="353"/>
      <c r="C56" s="322">
        <v>3082</v>
      </c>
      <c r="D56" s="324"/>
      <c r="E56" s="354" t="s">
        <v>438</v>
      </c>
      <c r="F56" s="355"/>
      <c r="G56" s="355"/>
      <c r="H56" s="355"/>
      <c r="I56" s="355"/>
      <c r="J56" s="355"/>
      <c r="K56" s="356"/>
      <c r="L56" s="55">
        <v>8864000</v>
      </c>
    </row>
    <row r="57" spans="1:12" x14ac:dyDescent="0.25">
      <c r="A57" s="352">
        <v>46080</v>
      </c>
      <c r="B57" s="353"/>
      <c r="C57" s="322" t="s">
        <v>100</v>
      </c>
      <c r="D57" s="324"/>
      <c r="E57" s="354" t="s">
        <v>464</v>
      </c>
      <c r="F57" s="355"/>
      <c r="G57" s="355"/>
      <c r="H57" s="355"/>
      <c r="I57" s="355"/>
      <c r="J57" s="355"/>
      <c r="K57" s="356"/>
      <c r="L57" s="55">
        <v>100000</v>
      </c>
    </row>
    <row r="58" spans="1:12" x14ac:dyDescent="0.25">
      <c r="A58" s="352">
        <v>46081</v>
      </c>
      <c r="B58" s="353"/>
      <c r="C58" s="322">
        <v>3086</v>
      </c>
      <c r="D58" s="324"/>
      <c r="E58" s="354" t="s">
        <v>440</v>
      </c>
      <c r="F58" s="355"/>
      <c r="G58" s="355"/>
      <c r="H58" s="355"/>
      <c r="I58" s="355"/>
      <c r="J58" s="355"/>
      <c r="K58" s="356"/>
      <c r="L58" s="55">
        <v>3940000</v>
      </c>
    </row>
    <row r="59" spans="1:12" x14ac:dyDescent="0.25">
      <c r="A59" s="352">
        <v>46086</v>
      </c>
      <c r="B59" s="353"/>
      <c r="C59" s="322">
        <v>3099</v>
      </c>
      <c r="D59" s="324"/>
      <c r="E59" s="354" t="s">
        <v>442</v>
      </c>
      <c r="F59" s="355"/>
      <c r="G59" s="355"/>
      <c r="H59" s="355"/>
      <c r="I59" s="355"/>
      <c r="J59" s="355"/>
      <c r="K59" s="356"/>
      <c r="L59" s="55">
        <v>5940000</v>
      </c>
    </row>
    <row r="60" spans="1:12" x14ac:dyDescent="0.25">
      <c r="A60" s="352">
        <v>46091</v>
      </c>
      <c r="B60" s="353"/>
      <c r="C60" s="322">
        <v>3114</v>
      </c>
      <c r="D60" s="324"/>
      <c r="E60" s="354" t="s">
        <v>458</v>
      </c>
      <c r="F60" s="355"/>
      <c r="G60" s="355"/>
      <c r="H60" s="355"/>
      <c r="I60" s="355"/>
      <c r="J60" s="355"/>
      <c r="K60" s="356"/>
      <c r="L60" s="55">
        <v>3940000</v>
      </c>
    </row>
    <row r="61" spans="1:12" s="33" customFormat="1" x14ac:dyDescent="0.25">
      <c r="A61" s="352">
        <v>46106</v>
      </c>
      <c r="B61" s="353"/>
      <c r="C61" s="322">
        <v>3151</v>
      </c>
      <c r="D61" s="324"/>
      <c r="E61" s="354" t="s">
        <v>445</v>
      </c>
      <c r="F61" s="355"/>
      <c r="G61" s="355"/>
      <c r="H61" s="355"/>
      <c r="I61" s="355"/>
      <c r="J61" s="355"/>
      <c r="K61" s="356"/>
      <c r="L61" s="55">
        <v>5940000</v>
      </c>
    </row>
    <row r="62" spans="1:12" s="33" customFormat="1" x14ac:dyDescent="0.25">
      <c r="A62" s="352">
        <v>46107</v>
      </c>
      <c r="B62" s="353"/>
      <c r="C62" s="322">
        <v>3157</v>
      </c>
      <c r="D62" s="324"/>
      <c r="E62" s="354" t="s">
        <v>446</v>
      </c>
      <c r="F62" s="355"/>
      <c r="G62" s="355"/>
      <c r="H62" s="355"/>
      <c r="I62" s="355"/>
      <c r="J62" s="355"/>
      <c r="K62" s="356"/>
      <c r="L62" s="55">
        <v>3940000</v>
      </c>
    </row>
    <row r="63" spans="1:12" s="33" customFormat="1" x14ac:dyDescent="0.25">
      <c r="A63" s="352">
        <v>46111</v>
      </c>
      <c r="B63" s="353"/>
      <c r="C63" s="322">
        <v>3168</v>
      </c>
      <c r="D63" s="324"/>
      <c r="E63" s="354" t="s">
        <v>448</v>
      </c>
      <c r="F63" s="355"/>
      <c r="G63" s="355"/>
      <c r="H63" s="355"/>
      <c r="I63" s="355"/>
      <c r="J63" s="355"/>
      <c r="K63" s="356"/>
      <c r="L63" s="55">
        <v>8704000</v>
      </c>
    </row>
    <row r="64" spans="1:12" s="33" customFormat="1" x14ac:dyDescent="0.25">
      <c r="A64" s="352">
        <v>46111</v>
      </c>
      <c r="B64" s="353"/>
      <c r="C64" s="322">
        <v>3172</v>
      </c>
      <c r="D64" s="324"/>
      <c r="E64" s="354" t="s">
        <v>450</v>
      </c>
      <c r="F64" s="355"/>
      <c r="G64" s="355"/>
      <c r="H64" s="355"/>
      <c r="I64" s="355"/>
      <c r="J64" s="355"/>
      <c r="K64" s="356"/>
      <c r="L64" s="55">
        <v>6240000</v>
      </c>
    </row>
    <row r="65" spans="1:13" s="33" customFormat="1" x14ac:dyDescent="0.25">
      <c r="A65" s="352">
        <v>46111</v>
      </c>
      <c r="B65" s="353"/>
      <c r="C65" s="322">
        <v>3173</v>
      </c>
      <c r="D65" s="324"/>
      <c r="E65" s="354" t="s">
        <v>452</v>
      </c>
      <c r="F65" s="355"/>
      <c r="G65" s="355"/>
      <c r="H65" s="355"/>
      <c r="I65" s="355"/>
      <c r="J65" s="355"/>
      <c r="K65" s="356"/>
      <c r="L65" s="55">
        <v>5522000</v>
      </c>
    </row>
    <row r="66" spans="1:13" s="33" customFormat="1" x14ac:dyDescent="0.25">
      <c r="A66" s="352">
        <v>46112</v>
      </c>
      <c r="B66" s="353"/>
      <c r="C66" s="322">
        <v>3175</v>
      </c>
      <c r="D66" s="324"/>
      <c r="E66" s="354" t="s">
        <v>454</v>
      </c>
      <c r="F66" s="355"/>
      <c r="G66" s="355"/>
      <c r="H66" s="355"/>
      <c r="I66" s="355"/>
      <c r="J66" s="355"/>
      <c r="K66" s="356"/>
      <c r="L66" s="55">
        <v>5940000</v>
      </c>
    </row>
    <row r="67" spans="1:13" s="33" customFormat="1" x14ac:dyDescent="0.25">
      <c r="A67" s="352">
        <v>46116</v>
      </c>
      <c r="B67" s="353"/>
      <c r="C67" s="322">
        <v>2</v>
      </c>
      <c r="D67" s="324"/>
      <c r="E67" s="354" t="s">
        <v>456</v>
      </c>
      <c r="F67" s="355"/>
      <c r="G67" s="355"/>
      <c r="H67" s="355"/>
      <c r="I67" s="355"/>
      <c r="J67" s="355"/>
      <c r="K67" s="356"/>
      <c r="L67" s="55">
        <v>5940000</v>
      </c>
    </row>
    <row r="68" spans="1:13" x14ac:dyDescent="0.25">
      <c r="A68" s="352">
        <v>46118</v>
      </c>
      <c r="B68" s="353"/>
      <c r="C68" s="322">
        <v>5</v>
      </c>
      <c r="D68" s="324"/>
      <c r="E68" s="354" t="s">
        <v>460</v>
      </c>
      <c r="F68" s="355"/>
      <c r="G68" s="355"/>
      <c r="H68" s="355"/>
      <c r="I68" s="355"/>
      <c r="J68" s="355"/>
      <c r="K68" s="356"/>
      <c r="L68" s="55">
        <v>5940000</v>
      </c>
      <c r="M68" s="33"/>
    </row>
    <row r="69" spans="1:13" x14ac:dyDescent="0.25">
      <c r="A69" s="334" t="s">
        <v>51</v>
      </c>
      <c r="B69" s="335"/>
      <c r="C69" s="335"/>
      <c r="D69" s="335"/>
      <c r="E69" s="335"/>
      <c r="F69" s="335"/>
      <c r="G69" s="335"/>
      <c r="H69" s="335"/>
      <c r="I69" s="335"/>
      <c r="J69" s="335"/>
      <c r="K69" s="336"/>
      <c r="L69" s="63">
        <f>SUM(L52:L68)</f>
        <v>99639000</v>
      </c>
    </row>
    <row r="70" spans="1:13" x14ac:dyDescent="0.25">
      <c r="A70" s="65"/>
      <c r="B70" s="66"/>
      <c r="C70" s="66"/>
      <c r="D70" s="66"/>
      <c r="E70" s="66"/>
      <c r="F70" s="66"/>
      <c r="G70" s="66"/>
      <c r="H70" s="31"/>
      <c r="I70" s="31"/>
      <c r="J70" s="31"/>
      <c r="K70" s="31"/>
      <c r="L70" s="31"/>
    </row>
    <row r="71" spans="1:13" x14ac:dyDescent="0.25">
      <c r="A71" s="48" t="s">
        <v>52</v>
      </c>
      <c r="B71" s="30"/>
      <c r="C71" s="30"/>
      <c r="D71" s="30"/>
      <c r="E71" s="30"/>
      <c r="F71" s="30"/>
      <c r="G71" s="30"/>
      <c r="H71" s="31"/>
      <c r="I71" s="31"/>
      <c r="J71" s="31"/>
      <c r="K71" s="31"/>
      <c r="L71" s="31"/>
    </row>
    <row r="72" spans="1:13" x14ac:dyDescent="0.25">
      <c r="A72" s="44"/>
      <c r="B72" s="45"/>
      <c r="C72" s="45"/>
      <c r="D72" s="45"/>
      <c r="E72" s="45"/>
      <c r="F72" s="45"/>
      <c r="G72" s="45"/>
      <c r="H72" s="31"/>
      <c r="I72" s="31"/>
      <c r="J72" s="46"/>
      <c r="K72" s="46"/>
      <c r="L72" s="31"/>
    </row>
    <row r="73" spans="1:13" x14ac:dyDescent="0.25">
      <c r="A73" s="337" t="s">
        <v>53</v>
      </c>
      <c r="B73" s="338"/>
      <c r="C73" s="337" t="s">
        <v>54</v>
      </c>
      <c r="D73" s="338"/>
      <c r="E73" s="229" t="s">
        <v>55</v>
      </c>
      <c r="F73" s="68" t="s">
        <v>37</v>
      </c>
      <c r="G73" s="339"/>
      <c r="H73" s="340"/>
      <c r="I73" s="340"/>
      <c r="J73" s="340"/>
      <c r="K73" s="341"/>
      <c r="L73" s="348" t="s">
        <v>56</v>
      </c>
    </row>
    <row r="74" spans="1:13" x14ac:dyDescent="0.25">
      <c r="A74" s="316"/>
      <c r="B74" s="317"/>
      <c r="C74" s="350" t="s">
        <v>57</v>
      </c>
      <c r="D74" s="351"/>
      <c r="E74" s="69"/>
      <c r="F74" s="44"/>
      <c r="G74" s="342"/>
      <c r="H74" s="343"/>
      <c r="I74" s="343"/>
      <c r="J74" s="343"/>
      <c r="K74" s="344"/>
      <c r="L74" s="349"/>
    </row>
    <row r="75" spans="1:13" x14ac:dyDescent="0.25">
      <c r="A75" s="310"/>
      <c r="B75" s="312"/>
      <c r="C75" s="310"/>
      <c r="D75" s="312"/>
      <c r="E75" s="70"/>
      <c r="F75" s="231"/>
      <c r="G75" s="342"/>
      <c r="H75" s="343"/>
      <c r="I75" s="343"/>
      <c r="J75" s="343"/>
      <c r="K75" s="344"/>
      <c r="L75" s="55"/>
    </row>
    <row r="76" spans="1:13" x14ac:dyDescent="0.25">
      <c r="A76" s="310"/>
      <c r="B76" s="312"/>
      <c r="C76" s="310"/>
      <c r="D76" s="312"/>
      <c r="E76" s="70"/>
      <c r="F76" s="64"/>
      <c r="G76" s="345"/>
      <c r="H76" s="346"/>
      <c r="I76" s="346"/>
      <c r="J76" s="346"/>
      <c r="K76" s="347"/>
      <c r="L76" s="72"/>
    </row>
    <row r="77" spans="1:13" x14ac:dyDescent="0.25">
      <c r="A77" s="322" t="s">
        <v>41</v>
      </c>
      <c r="B77" s="323"/>
      <c r="C77" s="323"/>
      <c r="D77" s="323"/>
      <c r="E77" s="323"/>
      <c r="F77" s="323"/>
      <c r="G77" s="323"/>
      <c r="H77" s="323"/>
      <c r="I77" s="323"/>
      <c r="J77" s="323"/>
      <c r="K77" s="324"/>
      <c r="L77" s="73">
        <f>SUM(L75:L76)</f>
        <v>0</v>
      </c>
    </row>
    <row r="78" spans="1:13" x14ac:dyDescent="0.25">
      <c r="A78" s="325"/>
      <c r="B78" s="326"/>
      <c r="C78" s="326"/>
      <c r="D78" s="326"/>
      <c r="E78" s="326"/>
      <c r="F78" s="326"/>
      <c r="G78" s="326"/>
      <c r="H78" s="326"/>
      <c r="I78" s="326"/>
      <c r="J78" s="326"/>
      <c r="K78" s="326"/>
      <c r="L78" s="326"/>
    </row>
    <row r="79" spans="1:13" x14ac:dyDescent="0.25">
      <c r="A79" s="327" t="s">
        <v>58</v>
      </c>
      <c r="B79" s="328"/>
      <c r="C79" s="328"/>
      <c r="D79" s="328"/>
      <c r="E79" s="328"/>
      <c r="F79" s="328"/>
      <c r="G79" s="328"/>
      <c r="H79" s="328"/>
      <c r="I79" s="328"/>
      <c r="J79" s="329"/>
      <c r="K79" s="330">
        <f>K9+L45-L69-L77</f>
        <v>0</v>
      </c>
      <c r="L79" s="330"/>
    </row>
    <row r="80" spans="1:13" x14ac:dyDescent="0.25">
      <c r="A80" s="331"/>
      <c r="B80" s="332"/>
      <c r="C80" s="332"/>
      <c r="D80" s="332"/>
      <c r="E80" s="332"/>
      <c r="F80" s="332"/>
      <c r="G80" s="332"/>
      <c r="H80" s="332"/>
      <c r="I80" s="332"/>
      <c r="J80" s="332"/>
      <c r="K80" s="332"/>
      <c r="L80" s="333"/>
    </row>
    <row r="81" spans="1:13" x14ac:dyDescent="0.25">
      <c r="A81" s="305" t="s">
        <v>59</v>
      </c>
      <c r="B81" s="305"/>
      <c r="C81" s="305"/>
      <c r="D81" s="305"/>
      <c r="E81" s="305"/>
      <c r="F81" s="305" t="s">
        <v>60</v>
      </c>
      <c r="G81" s="305"/>
      <c r="H81" s="305"/>
      <c r="I81" s="306"/>
      <c r="J81" s="309" t="s">
        <v>61</v>
      </c>
      <c r="K81" s="309"/>
      <c r="L81" s="309"/>
    </row>
    <row r="82" spans="1:13" x14ac:dyDescent="0.25">
      <c r="A82" s="310"/>
      <c r="B82" s="311"/>
      <c r="C82" s="311"/>
      <c r="D82" s="311"/>
      <c r="E82" s="312"/>
      <c r="F82" s="310"/>
      <c r="G82" s="311"/>
      <c r="H82" s="312"/>
      <c r="I82" s="307"/>
      <c r="J82" s="313"/>
      <c r="K82" s="314"/>
      <c r="L82" s="315"/>
      <c r="M82" s="74"/>
    </row>
    <row r="83" spans="1:13" x14ac:dyDescent="0.25">
      <c r="A83" s="316"/>
      <c r="B83" s="317"/>
      <c r="C83" s="317"/>
      <c r="D83" s="317"/>
      <c r="E83" s="318"/>
      <c r="F83" s="316"/>
      <c r="G83" s="317"/>
      <c r="H83" s="318"/>
      <c r="I83" s="308"/>
      <c r="J83" s="319"/>
      <c r="K83" s="320"/>
      <c r="L83" s="321"/>
    </row>
    <row r="84" spans="1:13" x14ac:dyDescent="0.25">
      <c r="A84" s="33"/>
      <c r="B84" s="33"/>
      <c r="C84" s="33"/>
      <c r="D84" s="33"/>
      <c r="E84" s="33"/>
      <c r="F84" s="33"/>
      <c r="G84" s="33"/>
      <c r="H84" s="75"/>
      <c r="I84" s="75"/>
      <c r="J84" s="75"/>
      <c r="K84" s="75"/>
      <c r="L84" s="75"/>
    </row>
  </sheetData>
  <mergeCells count="185">
    <mergeCell ref="E56:K56"/>
    <mergeCell ref="E55:K55"/>
    <mergeCell ref="E54:K54"/>
    <mergeCell ref="A59:B59"/>
    <mergeCell ref="A60:B60"/>
    <mergeCell ref="A67:B67"/>
    <mergeCell ref="C54:D54"/>
    <mergeCell ref="C55:D55"/>
    <mergeCell ref="C56:D56"/>
    <mergeCell ref="C58:D58"/>
    <mergeCell ref="C59:D59"/>
    <mergeCell ref="C60:D60"/>
    <mergeCell ref="C67:D67"/>
    <mergeCell ref="A66:B66"/>
    <mergeCell ref="C66:D66"/>
    <mergeCell ref="E66:K66"/>
    <mergeCell ref="A62:B62"/>
    <mergeCell ref="C62:D62"/>
    <mergeCell ref="E62:K62"/>
    <mergeCell ref="A63:B63"/>
    <mergeCell ref="C63:D63"/>
    <mergeCell ref="A81:E81"/>
    <mergeCell ref="F81:H81"/>
    <mergeCell ref="I81:I83"/>
    <mergeCell ref="J81:L81"/>
    <mergeCell ref="A82:E82"/>
    <mergeCell ref="F82:H82"/>
    <mergeCell ref="J82:L82"/>
    <mergeCell ref="A83:E83"/>
    <mergeCell ref="F83:H83"/>
    <mergeCell ref="J83:L83"/>
    <mergeCell ref="C76:D76"/>
    <mergeCell ref="A77:K77"/>
    <mergeCell ref="A78:L78"/>
    <mergeCell ref="A79:J79"/>
    <mergeCell ref="K79:L79"/>
    <mergeCell ref="A80:L80"/>
    <mergeCell ref="A69:K69"/>
    <mergeCell ref="A73:B73"/>
    <mergeCell ref="C73:D73"/>
    <mergeCell ref="G73:K76"/>
    <mergeCell ref="L73:L74"/>
    <mergeCell ref="A74:B74"/>
    <mergeCell ref="C74:D74"/>
    <mergeCell ref="A75:B75"/>
    <mergeCell ref="C75:D75"/>
    <mergeCell ref="A76:B76"/>
    <mergeCell ref="A68:B68"/>
    <mergeCell ref="C68:D68"/>
    <mergeCell ref="E68:K68"/>
    <mergeCell ref="E67:K67"/>
    <mergeCell ref="A64:B64"/>
    <mergeCell ref="C64:D64"/>
    <mergeCell ref="E64:K64"/>
    <mergeCell ref="A65:B65"/>
    <mergeCell ref="C65:D65"/>
    <mergeCell ref="E65:K65"/>
    <mergeCell ref="L49:L51"/>
    <mergeCell ref="A42:B42"/>
    <mergeCell ref="C42:D42"/>
    <mergeCell ref="E42:F42"/>
    <mergeCell ref="A43:B43"/>
    <mergeCell ref="C43:D43"/>
    <mergeCell ref="E43:F43"/>
    <mergeCell ref="E63:K63"/>
    <mergeCell ref="A53:B53"/>
    <mergeCell ref="C53:D53"/>
    <mergeCell ref="E53:K53"/>
    <mergeCell ref="A61:B61"/>
    <mergeCell ref="C61:D61"/>
    <mergeCell ref="E61:K61"/>
    <mergeCell ref="A54:B54"/>
    <mergeCell ref="A55:B55"/>
    <mergeCell ref="A56:B56"/>
    <mergeCell ref="A58:B58"/>
    <mergeCell ref="A57:B57"/>
    <mergeCell ref="C57:D57"/>
    <mergeCell ref="E57:K57"/>
    <mergeCell ref="E60:K60"/>
    <mergeCell ref="E59:K59"/>
    <mergeCell ref="E58:K58"/>
    <mergeCell ref="A39:B39"/>
    <mergeCell ref="C39:D39"/>
    <mergeCell ref="E39:F39"/>
    <mergeCell ref="A40:B40"/>
    <mergeCell ref="C40:D40"/>
    <mergeCell ref="E40:F40"/>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 ref="A52:B52"/>
    <mergeCell ref="C52:D52"/>
    <mergeCell ref="E52:K52"/>
    <mergeCell ref="A41:B41"/>
    <mergeCell ref="C41:D41"/>
    <mergeCell ref="E41:F41"/>
    <mergeCell ref="A44:B44"/>
    <mergeCell ref="C44:D44"/>
    <mergeCell ref="E44:F44"/>
    <mergeCell ref="A45:B45"/>
    <mergeCell ref="I45:K45"/>
    <mergeCell ref="A49:B51"/>
    <mergeCell ref="C49:D51"/>
    <mergeCell ref="E49:K5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opLeftCell="A41" workbookViewId="0">
      <selection activeCell="A41" sqref="A1:XFD1048576"/>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37" t="s">
        <v>27</v>
      </c>
      <c r="B6" s="236" t="s">
        <v>28</v>
      </c>
      <c r="C6" s="236" t="s">
        <v>29</v>
      </c>
      <c r="D6" s="30"/>
      <c r="E6" s="30"/>
      <c r="F6" s="30"/>
      <c r="G6" s="30"/>
      <c r="H6" s="31"/>
      <c r="I6" s="31"/>
      <c r="J6" s="31"/>
      <c r="K6" s="31"/>
      <c r="L6" s="32"/>
    </row>
    <row r="7" spans="1:12" x14ac:dyDescent="0.25">
      <c r="A7" s="41" t="s">
        <v>469</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39" t="s">
        <v>40</v>
      </c>
      <c r="K13" s="239" t="s">
        <v>40</v>
      </c>
      <c r="L13" s="239" t="s">
        <v>41</v>
      </c>
    </row>
    <row r="14" spans="1:12" x14ac:dyDescent="0.25">
      <c r="A14" s="396"/>
      <c r="B14" s="397"/>
      <c r="C14" s="396"/>
      <c r="D14" s="397"/>
      <c r="E14" s="361"/>
      <c r="F14" s="362"/>
      <c r="G14" s="399"/>
      <c r="H14" s="399"/>
      <c r="I14" s="399"/>
      <c r="J14" s="240" t="s">
        <v>42</v>
      </c>
      <c r="K14" s="240" t="s">
        <v>43</v>
      </c>
      <c r="L14" s="240" t="s">
        <v>44</v>
      </c>
    </row>
    <row r="15" spans="1:12" x14ac:dyDescent="0.25">
      <c r="A15" s="385">
        <v>1</v>
      </c>
      <c r="B15" s="384"/>
      <c r="C15" s="386" t="s">
        <v>217</v>
      </c>
      <c r="D15" s="386"/>
      <c r="E15" s="383" t="s">
        <v>197</v>
      </c>
      <c r="F15" s="383"/>
      <c r="G15" s="59" t="s">
        <v>26</v>
      </c>
      <c r="H15" s="55">
        <v>481700</v>
      </c>
      <c r="I15" s="56"/>
      <c r="J15" s="57"/>
      <c r="K15" s="57"/>
      <c r="L15" s="58">
        <f t="shared" ref="L15:L44" si="0">H15</f>
        <v>481700</v>
      </c>
    </row>
    <row r="16" spans="1:12" x14ac:dyDescent="0.25">
      <c r="A16" s="385">
        <v>1</v>
      </c>
      <c r="B16" s="384"/>
      <c r="C16" s="386" t="s">
        <v>80</v>
      </c>
      <c r="D16" s="386"/>
      <c r="E16" s="383" t="s">
        <v>404</v>
      </c>
      <c r="F16" s="383"/>
      <c r="G16" s="59" t="s">
        <v>26</v>
      </c>
      <c r="H16" s="55">
        <v>488500</v>
      </c>
      <c r="I16" s="56"/>
      <c r="J16" s="57"/>
      <c r="K16" s="57"/>
      <c r="L16" s="58">
        <f t="shared" si="0"/>
        <v>488500</v>
      </c>
    </row>
    <row r="17" spans="1:12" x14ac:dyDescent="0.25">
      <c r="A17" s="387" t="s">
        <v>77</v>
      </c>
      <c r="B17" s="386"/>
      <c r="C17" s="386" t="s">
        <v>217</v>
      </c>
      <c r="D17" s="386"/>
      <c r="E17" s="388" t="s">
        <v>187</v>
      </c>
      <c r="F17" s="389"/>
      <c r="G17" s="242" t="s">
        <v>26</v>
      </c>
      <c r="H17" s="60">
        <v>804500</v>
      </c>
      <c r="I17" s="56"/>
      <c r="J17" s="57"/>
      <c r="K17" s="57"/>
      <c r="L17" s="58">
        <f t="shared" si="0"/>
        <v>804500</v>
      </c>
    </row>
    <row r="18" spans="1:12" x14ac:dyDescent="0.25">
      <c r="A18" s="387" t="s">
        <v>77</v>
      </c>
      <c r="B18" s="386"/>
      <c r="C18" s="384">
        <v>3</v>
      </c>
      <c r="D18" s="384"/>
      <c r="E18" s="388" t="s">
        <v>373</v>
      </c>
      <c r="F18" s="389"/>
      <c r="G18" s="242" t="s">
        <v>26</v>
      </c>
      <c r="H18" s="55">
        <v>419300</v>
      </c>
      <c r="I18" s="56"/>
      <c r="J18" s="57"/>
      <c r="K18" s="57"/>
      <c r="L18" s="58">
        <f t="shared" si="0"/>
        <v>419300</v>
      </c>
    </row>
    <row r="19" spans="1:12" x14ac:dyDescent="0.25">
      <c r="A19" s="387" t="s">
        <v>77</v>
      </c>
      <c r="B19" s="386"/>
      <c r="C19" s="384">
        <v>2</v>
      </c>
      <c r="D19" s="384"/>
      <c r="E19" s="388" t="s">
        <v>463</v>
      </c>
      <c r="F19" s="389"/>
      <c r="G19" s="242" t="s">
        <v>26</v>
      </c>
      <c r="H19" s="55">
        <v>298000</v>
      </c>
      <c r="I19" s="56"/>
      <c r="J19" s="57"/>
      <c r="K19" s="57"/>
      <c r="L19" s="58">
        <f t="shared" si="0"/>
        <v>298000</v>
      </c>
    </row>
    <row r="20" spans="1:12" x14ac:dyDescent="0.25">
      <c r="A20" s="387" t="s">
        <v>77</v>
      </c>
      <c r="B20" s="386"/>
      <c r="C20" s="379" t="s">
        <v>142</v>
      </c>
      <c r="D20" s="380"/>
      <c r="E20" s="392" t="s">
        <v>382</v>
      </c>
      <c r="F20" s="393"/>
      <c r="G20" s="242" t="s">
        <v>26</v>
      </c>
      <c r="H20" s="55">
        <v>1376500</v>
      </c>
      <c r="I20" s="56"/>
      <c r="J20" s="57"/>
      <c r="K20" s="57"/>
      <c r="L20" s="58">
        <f t="shared" si="0"/>
        <v>1376500</v>
      </c>
    </row>
    <row r="21" spans="1:12" x14ac:dyDescent="0.25">
      <c r="A21" s="385">
        <v>1</v>
      </c>
      <c r="B21" s="384"/>
      <c r="C21" s="386" t="s">
        <v>206</v>
      </c>
      <c r="D21" s="386"/>
      <c r="E21" s="383" t="s">
        <v>264</v>
      </c>
      <c r="F21" s="383"/>
      <c r="G21" s="59" t="s">
        <v>26</v>
      </c>
      <c r="H21" s="55">
        <v>1033600</v>
      </c>
      <c r="I21" s="56"/>
      <c r="J21" s="57"/>
      <c r="K21" s="57"/>
      <c r="L21" s="58">
        <f t="shared" si="0"/>
        <v>1033600</v>
      </c>
    </row>
    <row r="22" spans="1:12" x14ac:dyDescent="0.25">
      <c r="A22" s="375">
        <v>1</v>
      </c>
      <c r="B22" s="376"/>
      <c r="C22" s="322">
        <v>1</v>
      </c>
      <c r="D22" s="324"/>
      <c r="E22" s="383" t="s">
        <v>470</v>
      </c>
      <c r="F22" s="383"/>
      <c r="G22" s="59" t="s">
        <v>26</v>
      </c>
      <c r="H22" s="55">
        <v>1034400</v>
      </c>
      <c r="I22" s="56"/>
      <c r="J22" s="57"/>
      <c r="K22" s="57"/>
      <c r="L22" s="58">
        <f t="shared" si="0"/>
        <v>1034400</v>
      </c>
    </row>
    <row r="23" spans="1:12" x14ac:dyDescent="0.25">
      <c r="A23" s="375">
        <v>1</v>
      </c>
      <c r="B23" s="376"/>
      <c r="C23" s="384">
        <v>4</v>
      </c>
      <c r="D23" s="384"/>
      <c r="E23" s="383" t="s">
        <v>311</v>
      </c>
      <c r="F23" s="383"/>
      <c r="G23" s="59" t="s">
        <v>26</v>
      </c>
      <c r="H23" s="55">
        <v>1383100</v>
      </c>
      <c r="I23" s="56"/>
      <c r="J23" s="57"/>
      <c r="K23" s="57"/>
      <c r="L23" s="58">
        <f t="shared" si="0"/>
        <v>1383100</v>
      </c>
    </row>
    <row r="24" spans="1:12" x14ac:dyDescent="0.25">
      <c r="A24" s="375">
        <v>1</v>
      </c>
      <c r="B24" s="376"/>
      <c r="C24" s="379" t="s">
        <v>142</v>
      </c>
      <c r="D24" s="380"/>
      <c r="E24" s="392" t="s">
        <v>374</v>
      </c>
      <c r="F24" s="393"/>
      <c r="G24" s="59" t="s">
        <v>26</v>
      </c>
      <c r="H24" s="55">
        <v>779300</v>
      </c>
      <c r="I24" s="56"/>
      <c r="J24" s="57"/>
      <c r="K24" s="57"/>
      <c r="L24" s="58">
        <f t="shared" si="0"/>
        <v>779300</v>
      </c>
    </row>
    <row r="25" spans="1:12" x14ac:dyDescent="0.25">
      <c r="A25" s="375">
        <v>1</v>
      </c>
      <c r="B25" s="376"/>
      <c r="C25" s="379" t="s">
        <v>80</v>
      </c>
      <c r="D25" s="380"/>
      <c r="E25" s="381" t="s">
        <v>405</v>
      </c>
      <c r="F25" s="382"/>
      <c r="G25" s="59" t="s">
        <v>26</v>
      </c>
      <c r="H25" s="55">
        <v>989800</v>
      </c>
      <c r="I25" s="56"/>
      <c r="J25" s="57"/>
      <c r="K25" s="57"/>
      <c r="L25" s="58">
        <f t="shared" si="0"/>
        <v>989800</v>
      </c>
    </row>
    <row r="26" spans="1:12" x14ac:dyDescent="0.25">
      <c r="A26" s="375">
        <v>1</v>
      </c>
      <c r="B26" s="376"/>
      <c r="C26" s="379" t="s">
        <v>342</v>
      </c>
      <c r="D26" s="380"/>
      <c r="E26" s="413" t="s">
        <v>160</v>
      </c>
      <c r="F26" s="414"/>
      <c r="G26" s="59" t="s">
        <v>26</v>
      </c>
      <c r="H26" s="55">
        <v>542287</v>
      </c>
      <c r="I26" s="56"/>
      <c r="J26" s="57"/>
      <c r="K26" s="57"/>
      <c r="L26" s="58">
        <f t="shared" si="0"/>
        <v>542287</v>
      </c>
    </row>
    <row r="27" spans="1:12" x14ac:dyDescent="0.25">
      <c r="A27" s="375">
        <v>1</v>
      </c>
      <c r="B27" s="376"/>
      <c r="C27" s="322">
        <v>10</v>
      </c>
      <c r="D27" s="324"/>
      <c r="E27" s="381" t="s">
        <v>160</v>
      </c>
      <c r="F27" s="382"/>
      <c r="G27" s="242" t="s">
        <v>26</v>
      </c>
      <c r="H27" s="60">
        <v>534800</v>
      </c>
      <c r="I27" s="56"/>
      <c r="J27" s="57"/>
      <c r="K27" s="57"/>
      <c r="L27" s="58">
        <f t="shared" si="0"/>
        <v>534800</v>
      </c>
    </row>
    <row r="28" spans="1:12" x14ac:dyDescent="0.25">
      <c r="A28" s="375">
        <v>1</v>
      </c>
      <c r="B28" s="376"/>
      <c r="C28" s="322">
        <v>4</v>
      </c>
      <c r="D28" s="324"/>
      <c r="E28" s="383" t="s">
        <v>388</v>
      </c>
      <c r="F28" s="383"/>
      <c r="G28" s="242" t="s">
        <v>26</v>
      </c>
      <c r="H28" s="60">
        <v>619100</v>
      </c>
      <c r="I28" s="56"/>
      <c r="J28" s="57"/>
      <c r="K28" s="57"/>
      <c r="L28" s="58">
        <f t="shared" si="0"/>
        <v>619100</v>
      </c>
    </row>
    <row r="29" spans="1:12" x14ac:dyDescent="0.25">
      <c r="A29" s="375">
        <v>1</v>
      </c>
      <c r="B29" s="376"/>
      <c r="C29" s="379" t="s">
        <v>140</v>
      </c>
      <c r="D29" s="380"/>
      <c r="E29" s="377" t="s">
        <v>89</v>
      </c>
      <c r="F29" s="378"/>
      <c r="G29" s="242" t="s">
        <v>26</v>
      </c>
      <c r="H29" s="60">
        <v>1060500</v>
      </c>
      <c r="I29" s="56"/>
      <c r="J29" s="57"/>
      <c r="K29" s="57"/>
      <c r="L29" s="58">
        <f t="shared" si="0"/>
        <v>1060500</v>
      </c>
    </row>
    <row r="30" spans="1:12" x14ac:dyDescent="0.25">
      <c r="A30" s="375">
        <v>1</v>
      </c>
      <c r="B30" s="376"/>
      <c r="C30" s="411" t="s">
        <v>142</v>
      </c>
      <c r="D30" s="412"/>
      <c r="E30" s="381" t="s">
        <v>380</v>
      </c>
      <c r="F30" s="382"/>
      <c r="G30" s="242" t="s">
        <v>26</v>
      </c>
      <c r="H30" s="60">
        <v>1376500</v>
      </c>
      <c r="I30" s="56"/>
      <c r="J30" s="57"/>
      <c r="K30" s="57"/>
      <c r="L30" s="58">
        <f t="shared" si="0"/>
        <v>1376500</v>
      </c>
    </row>
    <row r="31" spans="1:12" x14ac:dyDescent="0.25">
      <c r="A31" s="375">
        <v>1</v>
      </c>
      <c r="B31" s="376"/>
      <c r="C31" s="375">
        <v>6</v>
      </c>
      <c r="D31" s="376"/>
      <c r="E31" s="381" t="s">
        <v>263</v>
      </c>
      <c r="F31" s="382"/>
      <c r="G31" s="242" t="s">
        <v>26</v>
      </c>
      <c r="H31" s="60">
        <v>1090628</v>
      </c>
      <c r="I31" s="56"/>
      <c r="J31" s="57"/>
      <c r="K31" s="57"/>
      <c r="L31" s="58">
        <f t="shared" si="0"/>
        <v>1090628</v>
      </c>
    </row>
    <row r="32" spans="1:12" x14ac:dyDescent="0.25">
      <c r="A32" s="375">
        <v>1</v>
      </c>
      <c r="B32" s="376"/>
      <c r="C32" s="375">
        <v>3</v>
      </c>
      <c r="D32" s="376"/>
      <c r="E32" s="381" t="s">
        <v>387</v>
      </c>
      <c r="F32" s="382"/>
      <c r="G32" s="242" t="s">
        <v>26</v>
      </c>
      <c r="H32" s="60">
        <v>1218500</v>
      </c>
      <c r="I32" s="56"/>
      <c r="J32" s="57"/>
      <c r="K32" s="57"/>
      <c r="L32" s="58">
        <f t="shared" si="0"/>
        <v>1218500</v>
      </c>
    </row>
    <row r="33" spans="1:12" x14ac:dyDescent="0.25">
      <c r="A33" s="375">
        <v>1</v>
      </c>
      <c r="B33" s="376"/>
      <c r="C33" s="411" t="s">
        <v>77</v>
      </c>
      <c r="D33" s="412"/>
      <c r="E33" s="381" t="s">
        <v>471</v>
      </c>
      <c r="F33" s="382"/>
      <c r="G33" s="242" t="s">
        <v>26</v>
      </c>
      <c r="H33" s="60">
        <v>452200</v>
      </c>
      <c r="I33" s="56"/>
      <c r="J33" s="57"/>
      <c r="K33" s="57"/>
      <c r="L33" s="58">
        <f t="shared" si="0"/>
        <v>452200</v>
      </c>
    </row>
    <row r="34" spans="1:12" x14ac:dyDescent="0.25">
      <c r="A34" s="375">
        <v>1</v>
      </c>
      <c r="B34" s="376"/>
      <c r="C34" s="411" t="s">
        <v>80</v>
      </c>
      <c r="D34" s="412"/>
      <c r="E34" s="381" t="s">
        <v>420</v>
      </c>
      <c r="F34" s="382"/>
      <c r="G34" s="242" t="s">
        <v>240</v>
      </c>
      <c r="H34" s="60">
        <v>751300</v>
      </c>
      <c r="I34" s="56"/>
      <c r="J34" s="57"/>
      <c r="K34" s="57"/>
      <c r="L34" s="58">
        <f t="shared" si="0"/>
        <v>751300</v>
      </c>
    </row>
    <row r="35" spans="1:12" x14ac:dyDescent="0.25">
      <c r="A35" s="375">
        <v>1</v>
      </c>
      <c r="B35" s="376"/>
      <c r="C35" s="375">
        <v>8</v>
      </c>
      <c r="D35" s="376"/>
      <c r="E35" s="381" t="s">
        <v>249</v>
      </c>
      <c r="F35" s="382"/>
      <c r="G35" s="242" t="s">
        <v>240</v>
      </c>
      <c r="H35" s="60">
        <v>287300</v>
      </c>
      <c r="I35" s="56"/>
      <c r="J35" s="57"/>
      <c r="K35" s="57"/>
      <c r="L35" s="58">
        <f t="shared" si="0"/>
        <v>287300</v>
      </c>
    </row>
    <row r="36" spans="1:12" x14ac:dyDescent="0.25">
      <c r="A36" s="375">
        <v>1</v>
      </c>
      <c r="B36" s="376"/>
      <c r="C36" s="411" t="s">
        <v>142</v>
      </c>
      <c r="D36" s="412"/>
      <c r="E36" s="381" t="s">
        <v>389</v>
      </c>
      <c r="F36" s="382"/>
      <c r="G36" s="242" t="s">
        <v>26</v>
      </c>
      <c r="H36" s="60">
        <v>621251</v>
      </c>
      <c r="I36" s="56"/>
      <c r="J36" s="57"/>
      <c r="K36" s="57"/>
      <c r="L36" s="58">
        <f t="shared" si="0"/>
        <v>621251</v>
      </c>
    </row>
    <row r="37" spans="1:12" x14ac:dyDescent="0.25">
      <c r="A37" s="375">
        <v>1</v>
      </c>
      <c r="B37" s="376"/>
      <c r="C37" s="379" t="s">
        <v>158</v>
      </c>
      <c r="D37" s="380"/>
      <c r="E37" s="381" t="s">
        <v>279</v>
      </c>
      <c r="F37" s="382"/>
      <c r="G37" s="242" t="s">
        <v>26</v>
      </c>
      <c r="H37" s="60">
        <v>1112257</v>
      </c>
      <c r="I37" s="56"/>
      <c r="J37" s="57"/>
      <c r="K37" s="57"/>
      <c r="L37" s="58">
        <f t="shared" si="0"/>
        <v>1112257</v>
      </c>
    </row>
    <row r="38" spans="1:12" x14ac:dyDescent="0.25">
      <c r="A38" s="375">
        <v>1</v>
      </c>
      <c r="B38" s="376"/>
      <c r="C38" s="379" t="s">
        <v>206</v>
      </c>
      <c r="D38" s="380"/>
      <c r="E38" s="381" t="s">
        <v>276</v>
      </c>
      <c r="F38" s="382"/>
      <c r="G38" s="242" t="s">
        <v>26</v>
      </c>
      <c r="H38" s="60">
        <v>881977</v>
      </c>
      <c r="I38" s="56"/>
      <c r="J38" s="57"/>
      <c r="K38" s="57"/>
      <c r="L38" s="58">
        <f t="shared" si="0"/>
        <v>881977</v>
      </c>
    </row>
    <row r="39" spans="1:12" x14ac:dyDescent="0.25">
      <c r="A39" s="375">
        <v>1</v>
      </c>
      <c r="B39" s="376"/>
      <c r="C39" s="322">
        <v>10</v>
      </c>
      <c r="D39" s="324"/>
      <c r="E39" s="392" t="s">
        <v>182</v>
      </c>
      <c r="F39" s="393"/>
      <c r="G39" s="242" t="s">
        <v>26</v>
      </c>
      <c r="H39" s="60">
        <v>418100</v>
      </c>
      <c r="I39" s="56"/>
      <c r="J39" s="57"/>
      <c r="K39" s="57"/>
      <c r="L39" s="58">
        <f t="shared" si="0"/>
        <v>418100</v>
      </c>
    </row>
    <row r="40" spans="1:12" x14ac:dyDescent="0.25">
      <c r="A40" s="375">
        <v>1</v>
      </c>
      <c r="B40" s="376"/>
      <c r="C40" s="322">
        <v>3</v>
      </c>
      <c r="D40" s="324"/>
      <c r="E40" s="392" t="s">
        <v>390</v>
      </c>
      <c r="F40" s="393"/>
      <c r="G40" s="242" t="s">
        <v>26</v>
      </c>
      <c r="H40" s="60">
        <v>440800</v>
      </c>
      <c r="I40" s="56"/>
      <c r="J40" s="57"/>
      <c r="K40" s="57"/>
      <c r="L40" s="58">
        <f t="shared" si="0"/>
        <v>440800</v>
      </c>
    </row>
    <row r="41" spans="1:12" x14ac:dyDescent="0.25">
      <c r="A41" s="375">
        <v>1</v>
      </c>
      <c r="B41" s="376"/>
      <c r="C41" s="322">
        <v>8</v>
      </c>
      <c r="D41" s="324"/>
      <c r="E41" s="392" t="s">
        <v>186</v>
      </c>
      <c r="F41" s="393"/>
      <c r="G41" s="242" t="s">
        <v>26</v>
      </c>
      <c r="H41" s="60">
        <v>725834</v>
      </c>
      <c r="I41" s="56"/>
      <c r="J41" s="57"/>
      <c r="K41" s="57"/>
      <c r="L41" s="58">
        <f t="shared" si="0"/>
        <v>725834</v>
      </c>
    </row>
    <row r="42" spans="1:12" x14ac:dyDescent="0.25">
      <c r="A42" s="375">
        <v>1</v>
      </c>
      <c r="B42" s="376"/>
      <c r="C42" s="322">
        <v>2</v>
      </c>
      <c r="D42" s="324"/>
      <c r="E42" s="392" t="s">
        <v>414</v>
      </c>
      <c r="F42" s="393"/>
      <c r="G42" s="242" t="s">
        <v>26</v>
      </c>
      <c r="H42" s="60">
        <v>452200</v>
      </c>
      <c r="I42" s="56"/>
      <c r="J42" s="57"/>
      <c r="K42" s="57"/>
      <c r="L42" s="58">
        <f t="shared" si="0"/>
        <v>452200</v>
      </c>
    </row>
    <row r="43" spans="1:12" x14ac:dyDescent="0.25">
      <c r="A43" s="375">
        <v>1</v>
      </c>
      <c r="B43" s="376"/>
      <c r="C43" s="322">
        <v>4</v>
      </c>
      <c r="D43" s="324"/>
      <c r="E43" s="392" t="s">
        <v>359</v>
      </c>
      <c r="F43" s="393"/>
      <c r="G43" s="242" t="s">
        <v>26</v>
      </c>
      <c r="H43" s="60">
        <v>365300</v>
      </c>
      <c r="I43" s="56"/>
      <c r="J43" s="57"/>
      <c r="K43" s="57"/>
      <c r="L43" s="58">
        <f t="shared" si="0"/>
        <v>365300</v>
      </c>
    </row>
    <row r="44" spans="1:12" x14ac:dyDescent="0.25">
      <c r="A44" s="375">
        <v>1</v>
      </c>
      <c r="B44" s="376"/>
      <c r="C44" s="322">
        <v>1</v>
      </c>
      <c r="D44" s="324"/>
      <c r="E44" s="392" t="s">
        <v>472</v>
      </c>
      <c r="F44" s="393"/>
      <c r="G44" s="242" t="s">
        <v>26</v>
      </c>
      <c r="H44" s="60">
        <v>672000</v>
      </c>
      <c r="I44" s="190"/>
      <c r="J44" s="191"/>
      <c r="K44" s="192"/>
      <c r="L44" s="58">
        <f t="shared" si="0"/>
        <v>672000</v>
      </c>
    </row>
    <row r="45" spans="1:12" x14ac:dyDescent="0.25">
      <c r="A45" s="322"/>
      <c r="B45" s="324"/>
      <c r="C45" s="61" t="s">
        <v>45</v>
      </c>
      <c r="D45" s="62"/>
      <c r="E45" s="62"/>
      <c r="F45" s="62"/>
      <c r="G45" s="62"/>
      <c r="H45" s="63">
        <f>SUM(H15:H44)</f>
        <v>22711534</v>
      </c>
      <c r="I45" s="334"/>
      <c r="J45" s="335"/>
      <c r="K45" s="336"/>
      <c r="L45" s="63">
        <f>SUM(L15:L44)</f>
        <v>22711534</v>
      </c>
    </row>
    <row r="46" spans="1:12" x14ac:dyDescent="0.25">
      <c r="A46" s="64"/>
      <c r="B46" s="38"/>
      <c r="C46" s="29"/>
      <c r="D46" s="30"/>
      <c r="E46" s="30"/>
      <c r="F46" s="30"/>
      <c r="G46" s="30"/>
      <c r="H46" s="31"/>
      <c r="I46" s="31"/>
      <c r="J46" s="31"/>
      <c r="K46" s="31"/>
      <c r="L46" s="32"/>
    </row>
    <row r="47" spans="1:12" x14ac:dyDescent="0.25">
      <c r="A47" s="48" t="s">
        <v>46</v>
      </c>
      <c r="B47" s="38"/>
      <c r="C47" s="29"/>
      <c r="D47" s="30"/>
      <c r="E47" s="30"/>
      <c r="F47" s="30"/>
      <c r="G47" s="30"/>
      <c r="H47" s="31"/>
      <c r="I47" s="31"/>
      <c r="J47" s="31"/>
      <c r="K47" s="31"/>
      <c r="L47" s="32"/>
    </row>
    <row r="48" spans="1:12" x14ac:dyDescent="0.25">
      <c r="A48" s="48"/>
      <c r="B48" s="30"/>
      <c r="C48" s="30"/>
      <c r="D48" s="30"/>
      <c r="E48" s="30"/>
      <c r="F48" s="30"/>
      <c r="G48" s="30"/>
      <c r="H48" s="31"/>
      <c r="I48" s="31"/>
      <c r="J48" s="31"/>
      <c r="K48" s="31"/>
      <c r="L48" s="32"/>
    </row>
    <row r="49" spans="1:13" x14ac:dyDescent="0.25">
      <c r="A49" s="357" t="s">
        <v>47</v>
      </c>
      <c r="B49" s="358"/>
      <c r="C49" s="363" t="s">
        <v>48</v>
      </c>
      <c r="D49" s="364"/>
      <c r="E49" s="357" t="s">
        <v>49</v>
      </c>
      <c r="F49" s="369"/>
      <c r="G49" s="369"/>
      <c r="H49" s="369"/>
      <c r="I49" s="369"/>
      <c r="J49" s="369"/>
      <c r="K49" s="358"/>
      <c r="L49" s="372" t="s">
        <v>50</v>
      </c>
    </row>
    <row r="50" spans="1:13" x14ac:dyDescent="0.25">
      <c r="A50" s="359"/>
      <c r="B50" s="360"/>
      <c r="C50" s="365"/>
      <c r="D50" s="366"/>
      <c r="E50" s="359"/>
      <c r="F50" s="370"/>
      <c r="G50" s="370"/>
      <c r="H50" s="370"/>
      <c r="I50" s="370"/>
      <c r="J50" s="370"/>
      <c r="K50" s="360"/>
      <c r="L50" s="373"/>
    </row>
    <row r="51" spans="1:13" x14ac:dyDescent="0.25">
      <c r="A51" s="361"/>
      <c r="B51" s="362"/>
      <c r="C51" s="367"/>
      <c r="D51" s="368"/>
      <c r="E51" s="361"/>
      <c r="F51" s="371"/>
      <c r="G51" s="371"/>
      <c r="H51" s="371"/>
      <c r="I51" s="371"/>
      <c r="J51" s="371"/>
      <c r="K51" s="362"/>
      <c r="L51" s="374"/>
    </row>
    <row r="52" spans="1:13" x14ac:dyDescent="0.25">
      <c r="A52" s="352">
        <v>46160</v>
      </c>
      <c r="B52" s="353"/>
      <c r="C52" s="322" t="s">
        <v>100</v>
      </c>
      <c r="D52" s="324"/>
      <c r="E52" s="354" t="s">
        <v>244</v>
      </c>
      <c r="F52" s="355"/>
      <c r="G52" s="355"/>
      <c r="H52" s="355"/>
      <c r="I52" s="355"/>
      <c r="J52" s="355"/>
      <c r="K52" s="356"/>
      <c r="L52" s="55">
        <v>22711534</v>
      </c>
    </row>
    <row r="53" spans="1:13" x14ac:dyDescent="0.25">
      <c r="A53" s="352"/>
      <c r="B53" s="353"/>
      <c r="C53" s="322"/>
      <c r="D53" s="324"/>
      <c r="E53" s="354"/>
      <c r="F53" s="355"/>
      <c r="G53" s="355"/>
      <c r="H53" s="355"/>
      <c r="I53" s="355"/>
      <c r="J53" s="355"/>
      <c r="K53" s="356"/>
      <c r="L53" s="55"/>
    </row>
    <row r="54" spans="1:13" x14ac:dyDescent="0.25">
      <c r="A54" s="352"/>
      <c r="B54" s="353"/>
      <c r="C54" s="322"/>
      <c r="D54" s="324"/>
      <c r="E54" s="354"/>
      <c r="F54" s="355"/>
      <c r="G54" s="355"/>
      <c r="H54" s="355"/>
      <c r="I54" s="355"/>
      <c r="J54" s="355"/>
      <c r="K54" s="356"/>
      <c r="L54" s="55"/>
    </row>
    <row r="55" spans="1:13" x14ac:dyDescent="0.25">
      <c r="A55" s="352"/>
      <c r="B55" s="353"/>
      <c r="C55" s="322"/>
      <c r="D55" s="324"/>
      <c r="E55" s="354"/>
      <c r="F55" s="355"/>
      <c r="G55" s="355"/>
      <c r="H55" s="355"/>
      <c r="I55" s="355"/>
      <c r="J55" s="355"/>
      <c r="K55" s="356"/>
      <c r="L55" s="55"/>
    </row>
    <row r="56" spans="1:13" x14ac:dyDescent="0.25">
      <c r="A56" s="352"/>
      <c r="B56" s="353"/>
      <c r="C56" s="322"/>
      <c r="D56" s="324"/>
      <c r="E56" s="354"/>
      <c r="F56" s="355"/>
      <c r="G56" s="355"/>
      <c r="H56" s="355"/>
      <c r="I56" s="355"/>
      <c r="J56" s="355"/>
      <c r="K56" s="356"/>
      <c r="L56" s="55"/>
    </row>
    <row r="57" spans="1:13" x14ac:dyDescent="0.25">
      <c r="A57" s="352"/>
      <c r="B57" s="353"/>
      <c r="C57" s="322"/>
      <c r="D57" s="324"/>
      <c r="E57" s="354"/>
      <c r="F57" s="355"/>
      <c r="G57" s="355"/>
      <c r="H57" s="355"/>
      <c r="I57" s="355"/>
      <c r="J57" s="355"/>
      <c r="K57" s="356"/>
      <c r="L57" s="55"/>
    </row>
    <row r="58" spans="1:13" s="33" customFormat="1"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c r="M59" s="33"/>
    </row>
    <row r="60" spans="1:13" x14ac:dyDescent="0.25">
      <c r="A60" s="334" t="s">
        <v>51</v>
      </c>
      <c r="B60" s="335"/>
      <c r="C60" s="335"/>
      <c r="D60" s="335"/>
      <c r="E60" s="335"/>
      <c r="F60" s="335"/>
      <c r="G60" s="335"/>
      <c r="H60" s="335"/>
      <c r="I60" s="335"/>
      <c r="J60" s="335"/>
      <c r="K60" s="336"/>
      <c r="L60" s="63">
        <f>SUM(L52:L59)</f>
        <v>22711534</v>
      </c>
    </row>
    <row r="61" spans="1:13" x14ac:dyDescent="0.25">
      <c r="A61" s="65"/>
      <c r="B61" s="66"/>
      <c r="C61" s="66"/>
      <c r="D61" s="66"/>
      <c r="E61" s="66"/>
      <c r="F61" s="66"/>
      <c r="G61" s="66"/>
      <c r="H61" s="31"/>
      <c r="I61" s="31"/>
      <c r="J61" s="31"/>
      <c r="K61" s="31"/>
      <c r="L61" s="31"/>
    </row>
    <row r="62" spans="1:13" x14ac:dyDescent="0.25">
      <c r="A62" s="48" t="s">
        <v>52</v>
      </c>
      <c r="B62" s="30"/>
      <c r="C62" s="30"/>
      <c r="D62" s="30"/>
      <c r="E62" s="30"/>
      <c r="F62" s="30"/>
      <c r="G62" s="30"/>
      <c r="H62" s="31"/>
      <c r="I62" s="31"/>
      <c r="J62" s="31"/>
      <c r="K62" s="31"/>
      <c r="L62" s="31"/>
    </row>
    <row r="63" spans="1:13" x14ac:dyDescent="0.25">
      <c r="A63" s="44"/>
      <c r="B63" s="45"/>
      <c r="C63" s="45"/>
      <c r="D63" s="45"/>
      <c r="E63" s="45"/>
      <c r="F63" s="45"/>
      <c r="G63" s="45"/>
      <c r="H63" s="31"/>
      <c r="I63" s="31"/>
      <c r="J63" s="46"/>
      <c r="K63" s="46"/>
      <c r="L63" s="31"/>
    </row>
    <row r="64" spans="1:13" x14ac:dyDescent="0.25">
      <c r="A64" s="337" t="s">
        <v>53</v>
      </c>
      <c r="B64" s="338"/>
      <c r="C64" s="337" t="s">
        <v>54</v>
      </c>
      <c r="D64" s="338"/>
      <c r="E64" s="238" t="s">
        <v>55</v>
      </c>
      <c r="F64" s="68" t="s">
        <v>37</v>
      </c>
      <c r="G64" s="339"/>
      <c r="H64" s="340"/>
      <c r="I64" s="340"/>
      <c r="J64" s="340"/>
      <c r="K64" s="341"/>
      <c r="L64" s="348" t="s">
        <v>56</v>
      </c>
    </row>
    <row r="65" spans="1:13" x14ac:dyDescent="0.25">
      <c r="A65" s="316"/>
      <c r="B65" s="317"/>
      <c r="C65" s="350" t="s">
        <v>57</v>
      </c>
      <c r="D65" s="351"/>
      <c r="E65" s="69"/>
      <c r="F65" s="44"/>
      <c r="G65" s="342"/>
      <c r="H65" s="343"/>
      <c r="I65" s="343"/>
      <c r="J65" s="343"/>
      <c r="K65" s="344"/>
      <c r="L65" s="349"/>
    </row>
    <row r="66" spans="1:13" x14ac:dyDescent="0.25">
      <c r="A66" s="310"/>
      <c r="B66" s="312"/>
      <c r="C66" s="310"/>
      <c r="D66" s="312"/>
      <c r="E66" s="70"/>
      <c r="F66" s="241"/>
      <c r="G66" s="342"/>
      <c r="H66" s="343"/>
      <c r="I66" s="343"/>
      <c r="J66" s="343"/>
      <c r="K66" s="344"/>
      <c r="L66" s="55"/>
    </row>
    <row r="67" spans="1:13" x14ac:dyDescent="0.25">
      <c r="A67" s="310"/>
      <c r="B67" s="312"/>
      <c r="C67" s="310"/>
      <c r="D67" s="312"/>
      <c r="E67" s="70"/>
      <c r="F67" s="64"/>
      <c r="G67" s="345"/>
      <c r="H67" s="346"/>
      <c r="I67" s="346"/>
      <c r="J67" s="346"/>
      <c r="K67" s="347"/>
      <c r="L67" s="72"/>
    </row>
    <row r="68" spans="1:13" x14ac:dyDescent="0.25">
      <c r="A68" s="322" t="s">
        <v>41</v>
      </c>
      <c r="B68" s="323"/>
      <c r="C68" s="323"/>
      <c r="D68" s="323"/>
      <c r="E68" s="323"/>
      <c r="F68" s="323"/>
      <c r="G68" s="323"/>
      <c r="H68" s="323"/>
      <c r="I68" s="323"/>
      <c r="J68" s="323"/>
      <c r="K68" s="324"/>
      <c r="L68" s="73">
        <f>SUM(L66:L67)</f>
        <v>0</v>
      </c>
    </row>
    <row r="69" spans="1:13" x14ac:dyDescent="0.25">
      <c r="A69" s="325"/>
      <c r="B69" s="326"/>
      <c r="C69" s="326"/>
      <c r="D69" s="326"/>
      <c r="E69" s="326"/>
      <c r="F69" s="326"/>
      <c r="G69" s="326"/>
      <c r="H69" s="326"/>
      <c r="I69" s="326"/>
      <c r="J69" s="326"/>
      <c r="K69" s="326"/>
      <c r="L69" s="326"/>
    </row>
    <row r="70" spans="1:13" x14ac:dyDescent="0.25">
      <c r="A70" s="327" t="s">
        <v>58</v>
      </c>
      <c r="B70" s="328"/>
      <c r="C70" s="328"/>
      <c r="D70" s="328"/>
      <c r="E70" s="328"/>
      <c r="F70" s="328"/>
      <c r="G70" s="328"/>
      <c r="H70" s="328"/>
      <c r="I70" s="328"/>
      <c r="J70" s="329"/>
      <c r="K70" s="330">
        <f>K9+L45-L60-L68</f>
        <v>0</v>
      </c>
      <c r="L70" s="330"/>
    </row>
    <row r="71" spans="1:13" x14ac:dyDescent="0.25">
      <c r="A71" s="331"/>
      <c r="B71" s="332"/>
      <c r="C71" s="332"/>
      <c r="D71" s="332"/>
      <c r="E71" s="332"/>
      <c r="F71" s="332"/>
      <c r="G71" s="332"/>
      <c r="H71" s="332"/>
      <c r="I71" s="332"/>
      <c r="J71" s="332"/>
      <c r="K71" s="332"/>
      <c r="L71" s="333"/>
    </row>
    <row r="72" spans="1:13" x14ac:dyDescent="0.25">
      <c r="A72" s="305" t="s">
        <v>59</v>
      </c>
      <c r="B72" s="305"/>
      <c r="C72" s="305"/>
      <c r="D72" s="305"/>
      <c r="E72" s="305"/>
      <c r="F72" s="305" t="s">
        <v>60</v>
      </c>
      <c r="G72" s="305"/>
      <c r="H72" s="305"/>
      <c r="I72" s="306"/>
      <c r="J72" s="309" t="s">
        <v>61</v>
      </c>
      <c r="K72" s="309"/>
      <c r="L72" s="309"/>
    </row>
    <row r="73" spans="1:13" x14ac:dyDescent="0.25">
      <c r="A73" s="310"/>
      <c r="B73" s="311"/>
      <c r="C73" s="311"/>
      <c r="D73" s="311"/>
      <c r="E73" s="312"/>
      <c r="F73" s="310"/>
      <c r="G73" s="311"/>
      <c r="H73" s="312"/>
      <c r="I73" s="307"/>
      <c r="J73" s="313"/>
      <c r="K73" s="314"/>
      <c r="L73" s="315"/>
      <c r="M73" s="74"/>
    </row>
    <row r="74" spans="1:13" x14ac:dyDescent="0.25">
      <c r="A74" s="316"/>
      <c r="B74" s="317"/>
      <c r="C74" s="317"/>
      <c r="D74" s="317"/>
      <c r="E74" s="318"/>
      <c r="F74" s="316"/>
      <c r="G74" s="317"/>
      <c r="H74" s="318"/>
      <c r="I74" s="308"/>
      <c r="J74" s="319"/>
      <c r="K74" s="320"/>
      <c r="L74" s="321"/>
    </row>
    <row r="75" spans="1:13" x14ac:dyDescent="0.25">
      <c r="A75" s="33"/>
      <c r="B75" s="33"/>
      <c r="C75" s="33"/>
      <c r="D75" s="33"/>
      <c r="E75" s="33"/>
      <c r="F75" s="33"/>
      <c r="G75" s="33"/>
      <c r="H75" s="75"/>
      <c r="I75" s="75"/>
      <c r="J75" s="75"/>
      <c r="K75" s="75"/>
      <c r="L75" s="75"/>
    </row>
  </sheetData>
  <mergeCells count="158">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A41:B41"/>
    <mergeCell ref="C41:D41"/>
    <mergeCell ref="E41:F41"/>
    <mergeCell ref="A42:B42"/>
    <mergeCell ref="C42:D42"/>
    <mergeCell ref="E42:F42"/>
    <mergeCell ref="A39:B39"/>
    <mergeCell ref="C39:D39"/>
    <mergeCell ref="E39:F39"/>
    <mergeCell ref="A40:B40"/>
    <mergeCell ref="C40:D40"/>
    <mergeCell ref="E40:F40"/>
    <mergeCell ref="A45:B45"/>
    <mergeCell ref="I45:K45"/>
    <mergeCell ref="A49:B51"/>
    <mergeCell ref="C49:D51"/>
    <mergeCell ref="E49:K51"/>
    <mergeCell ref="L49:L51"/>
    <mergeCell ref="A43:B43"/>
    <mergeCell ref="C43:D43"/>
    <mergeCell ref="E43:F43"/>
    <mergeCell ref="A44:B44"/>
    <mergeCell ref="C44:D44"/>
    <mergeCell ref="E44:F44"/>
    <mergeCell ref="A54:B54"/>
    <mergeCell ref="C54:D54"/>
    <mergeCell ref="E54:K54"/>
    <mergeCell ref="A55:B55"/>
    <mergeCell ref="C55:D55"/>
    <mergeCell ref="E55:K55"/>
    <mergeCell ref="A52:B52"/>
    <mergeCell ref="C52:D52"/>
    <mergeCell ref="E52:K52"/>
    <mergeCell ref="A53:B53"/>
    <mergeCell ref="C53:D53"/>
    <mergeCell ref="E53:K53"/>
    <mergeCell ref="A58:B58"/>
    <mergeCell ref="C58:D58"/>
    <mergeCell ref="E58:K58"/>
    <mergeCell ref="A56:B56"/>
    <mergeCell ref="C56:D56"/>
    <mergeCell ref="E56:K56"/>
    <mergeCell ref="A57:B57"/>
    <mergeCell ref="C57:D57"/>
    <mergeCell ref="E57:K57"/>
    <mergeCell ref="L64:L65"/>
    <mergeCell ref="A65:B65"/>
    <mergeCell ref="C65:D65"/>
    <mergeCell ref="A66:B66"/>
    <mergeCell ref="C66:D66"/>
    <mergeCell ref="A67:B67"/>
    <mergeCell ref="C67:D67"/>
    <mergeCell ref="A59:B59"/>
    <mergeCell ref="C59:D59"/>
    <mergeCell ref="E59:K59"/>
    <mergeCell ref="A60:K60"/>
    <mergeCell ref="A64:B64"/>
    <mergeCell ref="C64:D64"/>
    <mergeCell ref="G64:K67"/>
    <mergeCell ref="F73:H73"/>
    <mergeCell ref="J73:L73"/>
    <mergeCell ref="A74:E74"/>
    <mergeCell ref="F74:H74"/>
    <mergeCell ref="J74:L74"/>
    <mergeCell ref="A68:K68"/>
    <mergeCell ref="A69:L69"/>
    <mergeCell ref="A70:J70"/>
    <mergeCell ref="K70:L70"/>
    <mergeCell ref="A71:L71"/>
    <mergeCell ref="A72:E72"/>
    <mergeCell ref="F72:H72"/>
    <mergeCell ref="I72:I74"/>
    <mergeCell ref="J72:L72"/>
    <mergeCell ref="A73:E7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7"/>
  <sheetViews>
    <sheetView topLeftCell="A42" workbookViewId="0">
      <selection activeCell="A54" sqref="A54:K54"/>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37" t="s">
        <v>27</v>
      </c>
      <c r="B6" s="236" t="s">
        <v>28</v>
      </c>
      <c r="C6" s="236" t="s">
        <v>29</v>
      </c>
      <c r="D6" s="30"/>
      <c r="E6" s="30"/>
      <c r="F6" s="30"/>
      <c r="G6" s="30"/>
      <c r="H6" s="31"/>
      <c r="I6" s="31"/>
      <c r="J6" s="31"/>
      <c r="K6" s="31"/>
      <c r="L6" s="32"/>
    </row>
    <row r="7" spans="1:12" x14ac:dyDescent="0.25">
      <c r="A7" s="41" t="s">
        <v>408</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39" t="s">
        <v>40</v>
      </c>
      <c r="K13" s="239" t="s">
        <v>40</v>
      </c>
      <c r="L13" s="239" t="s">
        <v>41</v>
      </c>
    </row>
    <row r="14" spans="1:12" x14ac:dyDescent="0.25">
      <c r="A14" s="396"/>
      <c r="B14" s="397"/>
      <c r="C14" s="396"/>
      <c r="D14" s="397"/>
      <c r="E14" s="361"/>
      <c r="F14" s="362"/>
      <c r="G14" s="399"/>
      <c r="H14" s="399"/>
      <c r="I14" s="399"/>
      <c r="J14" s="240" t="s">
        <v>42</v>
      </c>
      <c r="K14" s="240" t="s">
        <v>43</v>
      </c>
      <c r="L14" s="240" t="s">
        <v>44</v>
      </c>
    </row>
    <row r="15" spans="1:12" x14ac:dyDescent="0.25">
      <c r="A15" s="385">
        <v>1</v>
      </c>
      <c r="B15" s="384"/>
      <c r="C15" s="386" t="s">
        <v>142</v>
      </c>
      <c r="D15" s="386"/>
      <c r="E15" s="383" t="s">
        <v>393</v>
      </c>
      <c r="F15" s="383"/>
      <c r="G15" s="59" t="s">
        <v>26</v>
      </c>
      <c r="H15" s="55">
        <v>965900</v>
      </c>
      <c r="I15" s="56"/>
      <c r="J15" s="57"/>
      <c r="K15" s="57"/>
      <c r="L15" s="58">
        <f t="shared" ref="L15:L46" si="0">H15</f>
        <v>965900</v>
      </c>
    </row>
    <row r="16" spans="1:12" x14ac:dyDescent="0.25">
      <c r="A16" s="385">
        <v>1</v>
      </c>
      <c r="B16" s="384"/>
      <c r="C16" s="386" t="s">
        <v>77</v>
      </c>
      <c r="D16" s="386"/>
      <c r="E16" s="383" t="s">
        <v>473</v>
      </c>
      <c r="F16" s="383"/>
      <c r="G16" s="59" t="s">
        <v>26</v>
      </c>
      <c r="H16" s="55">
        <v>450400</v>
      </c>
      <c r="I16" s="56"/>
      <c r="J16" s="57"/>
      <c r="K16" s="57"/>
      <c r="L16" s="58">
        <f t="shared" si="0"/>
        <v>450400</v>
      </c>
    </row>
    <row r="17" spans="1:12" x14ac:dyDescent="0.25">
      <c r="A17" s="387" t="s">
        <v>77</v>
      </c>
      <c r="B17" s="386"/>
      <c r="C17" s="386" t="s">
        <v>80</v>
      </c>
      <c r="D17" s="386"/>
      <c r="E17" s="388" t="s">
        <v>424</v>
      </c>
      <c r="F17" s="389"/>
      <c r="G17" s="242" t="s">
        <v>26</v>
      </c>
      <c r="H17" s="60">
        <v>696400</v>
      </c>
      <c r="I17" s="56"/>
      <c r="J17" s="57"/>
      <c r="K17" s="57"/>
      <c r="L17" s="58">
        <f t="shared" si="0"/>
        <v>696400</v>
      </c>
    </row>
    <row r="18" spans="1:12" x14ac:dyDescent="0.25">
      <c r="A18" s="387" t="s">
        <v>77</v>
      </c>
      <c r="B18" s="386"/>
      <c r="C18" s="384">
        <v>9</v>
      </c>
      <c r="D18" s="384"/>
      <c r="E18" s="388" t="s">
        <v>180</v>
      </c>
      <c r="F18" s="389"/>
      <c r="G18" s="242" t="s">
        <v>26</v>
      </c>
      <c r="H18" s="55">
        <v>600000</v>
      </c>
      <c r="I18" s="56"/>
      <c r="J18" s="57"/>
      <c r="K18" s="57"/>
      <c r="L18" s="58">
        <f t="shared" si="0"/>
        <v>600000</v>
      </c>
    </row>
    <row r="19" spans="1:12" x14ac:dyDescent="0.25">
      <c r="A19" s="387" t="s">
        <v>77</v>
      </c>
      <c r="B19" s="386"/>
      <c r="C19" s="384">
        <v>6</v>
      </c>
      <c r="D19" s="384"/>
      <c r="E19" s="388" t="s">
        <v>474</v>
      </c>
      <c r="F19" s="389"/>
      <c r="G19" s="242" t="s">
        <v>26</v>
      </c>
      <c r="H19" s="55">
        <v>1571700</v>
      </c>
      <c r="I19" s="56"/>
      <c r="J19" s="57"/>
      <c r="K19" s="57"/>
      <c r="L19" s="58">
        <f t="shared" si="0"/>
        <v>1571700</v>
      </c>
    </row>
    <row r="20" spans="1:12" x14ac:dyDescent="0.25">
      <c r="A20" s="387" t="s">
        <v>77</v>
      </c>
      <c r="B20" s="386"/>
      <c r="C20" s="379" t="s">
        <v>158</v>
      </c>
      <c r="D20" s="380"/>
      <c r="E20" s="392" t="s">
        <v>305</v>
      </c>
      <c r="F20" s="393"/>
      <c r="G20" s="242" t="s">
        <v>26</v>
      </c>
      <c r="H20" s="55">
        <v>1526600</v>
      </c>
      <c r="I20" s="56"/>
      <c r="J20" s="57"/>
      <c r="K20" s="57"/>
      <c r="L20" s="58">
        <f t="shared" si="0"/>
        <v>1526600</v>
      </c>
    </row>
    <row r="21" spans="1:12" x14ac:dyDescent="0.25">
      <c r="A21" s="385">
        <v>1</v>
      </c>
      <c r="B21" s="384"/>
      <c r="C21" s="386" t="s">
        <v>80</v>
      </c>
      <c r="D21" s="386"/>
      <c r="E21" s="383" t="s">
        <v>423</v>
      </c>
      <c r="F21" s="383"/>
      <c r="G21" s="59" t="s">
        <v>240</v>
      </c>
      <c r="H21" s="55">
        <v>1360600</v>
      </c>
      <c r="I21" s="56"/>
      <c r="J21" s="57"/>
      <c r="K21" s="57"/>
      <c r="L21" s="58">
        <f t="shared" si="0"/>
        <v>1360600</v>
      </c>
    </row>
    <row r="22" spans="1:12" x14ac:dyDescent="0.25">
      <c r="A22" s="375">
        <v>1</v>
      </c>
      <c r="B22" s="376"/>
      <c r="C22" s="322">
        <v>3</v>
      </c>
      <c r="D22" s="324"/>
      <c r="E22" s="383" t="s">
        <v>386</v>
      </c>
      <c r="F22" s="383"/>
      <c r="G22" s="59" t="s">
        <v>26</v>
      </c>
      <c r="H22" s="55">
        <v>1421200</v>
      </c>
      <c r="I22" s="56"/>
      <c r="J22" s="57"/>
      <c r="K22" s="57"/>
      <c r="L22" s="58">
        <f t="shared" si="0"/>
        <v>1421200</v>
      </c>
    </row>
    <row r="23" spans="1:12" x14ac:dyDescent="0.25">
      <c r="A23" s="375">
        <v>1</v>
      </c>
      <c r="B23" s="376"/>
      <c r="C23" s="384">
        <v>11</v>
      </c>
      <c r="D23" s="384"/>
      <c r="E23" s="383" t="s">
        <v>136</v>
      </c>
      <c r="F23" s="383"/>
      <c r="G23" s="59" t="s">
        <v>26</v>
      </c>
      <c r="H23" s="55">
        <v>656200</v>
      </c>
      <c r="I23" s="56"/>
      <c r="J23" s="57"/>
      <c r="K23" s="57"/>
      <c r="L23" s="58">
        <f t="shared" si="0"/>
        <v>656200</v>
      </c>
    </row>
    <row r="24" spans="1:12" x14ac:dyDescent="0.25">
      <c r="A24" s="375">
        <v>1</v>
      </c>
      <c r="B24" s="376"/>
      <c r="C24" s="379" t="s">
        <v>342</v>
      </c>
      <c r="D24" s="380"/>
      <c r="E24" s="392" t="s">
        <v>185</v>
      </c>
      <c r="F24" s="393"/>
      <c r="G24" s="59" t="s">
        <v>26</v>
      </c>
      <c r="H24" s="55">
        <v>325300</v>
      </c>
      <c r="I24" s="56"/>
      <c r="J24" s="57"/>
      <c r="K24" s="57"/>
      <c r="L24" s="58">
        <f t="shared" si="0"/>
        <v>325300</v>
      </c>
    </row>
    <row r="25" spans="1:12" x14ac:dyDescent="0.25">
      <c r="A25" s="375">
        <v>1</v>
      </c>
      <c r="B25" s="376"/>
      <c r="C25" s="379" t="s">
        <v>142</v>
      </c>
      <c r="D25" s="380"/>
      <c r="E25" s="381" t="s">
        <v>392</v>
      </c>
      <c r="F25" s="382"/>
      <c r="G25" s="59" t="s">
        <v>26</v>
      </c>
      <c r="H25" s="55">
        <v>588800</v>
      </c>
      <c r="I25" s="56"/>
      <c r="J25" s="57"/>
      <c r="K25" s="57"/>
      <c r="L25" s="58">
        <f t="shared" si="0"/>
        <v>588800</v>
      </c>
    </row>
    <row r="26" spans="1:12" x14ac:dyDescent="0.25">
      <c r="A26" s="375">
        <v>1</v>
      </c>
      <c r="B26" s="376"/>
      <c r="C26" s="379" t="s">
        <v>80</v>
      </c>
      <c r="D26" s="380"/>
      <c r="E26" s="413" t="s">
        <v>413</v>
      </c>
      <c r="F26" s="414"/>
      <c r="G26" s="59" t="s">
        <v>26</v>
      </c>
      <c r="H26" s="55">
        <v>1028500</v>
      </c>
      <c r="I26" s="56"/>
      <c r="J26" s="57"/>
      <c r="K26" s="57"/>
      <c r="L26" s="58">
        <f t="shared" si="0"/>
        <v>1028500</v>
      </c>
    </row>
    <row r="27" spans="1:12" x14ac:dyDescent="0.25">
      <c r="A27" s="375">
        <v>1</v>
      </c>
      <c r="B27" s="376"/>
      <c r="C27" s="322">
        <v>4</v>
      </c>
      <c r="D27" s="324"/>
      <c r="E27" s="381" t="s">
        <v>358</v>
      </c>
      <c r="F27" s="382"/>
      <c r="G27" s="242" t="s">
        <v>26</v>
      </c>
      <c r="H27" s="60">
        <v>1379900</v>
      </c>
      <c r="I27" s="56"/>
      <c r="J27" s="57"/>
      <c r="K27" s="57"/>
      <c r="L27" s="58">
        <f t="shared" si="0"/>
        <v>1379900</v>
      </c>
    </row>
    <row r="28" spans="1:12" x14ac:dyDescent="0.25">
      <c r="A28" s="375">
        <v>1</v>
      </c>
      <c r="B28" s="376"/>
      <c r="C28" s="322">
        <v>3</v>
      </c>
      <c r="D28" s="324"/>
      <c r="E28" s="383" t="s">
        <v>402</v>
      </c>
      <c r="F28" s="383"/>
      <c r="G28" s="242" t="s">
        <v>26</v>
      </c>
      <c r="H28" s="60">
        <v>1091100</v>
      </c>
      <c r="I28" s="56"/>
      <c r="J28" s="57"/>
      <c r="K28" s="57"/>
      <c r="L28" s="58">
        <f t="shared" si="0"/>
        <v>1091100</v>
      </c>
    </row>
    <row r="29" spans="1:12" x14ac:dyDescent="0.25">
      <c r="A29" s="375">
        <v>1</v>
      </c>
      <c r="B29" s="376"/>
      <c r="C29" s="379" t="s">
        <v>273</v>
      </c>
      <c r="D29" s="380"/>
      <c r="E29" s="377" t="s">
        <v>134</v>
      </c>
      <c r="F29" s="378"/>
      <c r="G29" s="242" t="s">
        <v>26</v>
      </c>
      <c r="H29" s="60">
        <v>317700</v>
      </c>
      <c r="I29" s="56"/>
      <c r="J29" s="57"/>
      <c r="K29" s="57"/>
      <c r="L29" s="58">
        <f t="shared" si="0"/>
        <v>317700</v>
      </c>
    </row>
    <row r="30" spans="1:12" x14ac:dyDescent="0.25">
      <c r="A30" s="375">
        <v>1</v>
      </c>
      <c r="B30" s="376"/>
      <c r="C30" s="411" t="s">
        <v>273</v>
      </c>
      <c r="D30" s="412"/>
      <c r="E30" s="381" t="s">
        <v>107</v>
      </c>
      <c r="F30" s="382"/>
      <c r="G30" s="242" t="s">
        <v>26</v>
      </c>
      <c r="H30" s="60">
        <v>646907</v>
      </c>
      <c r="I30" s="56"/>
      <c r="J30" s="57"/>
      <c r="K30" s="57"/>
      <c r="L30" s="58">
        <f t="shared" si="0"/>
        <v>646907</v>
      </c>
    </row>
    <row r="31" spans="1:12" x14ac:dyDescent="0.25">
      <c r="A31" s="375">
        <v>1</v>
      </c>
      <c r="B31" s="376"/>
      <c r="C31" s="375">
        <v>3</v>
      </c>
      <c r="D31" s="376"/>
      <c r="E31" s="381" t="s">
        <v>310</v>
      </c>
      <c r="F31" s="382"/>
      <c r="G31" s="242" t="s">
        <v>26</v>
      </c>
      <c r="H31" s="60">
        <v>453656</v>
      </c>
      <c r="I31" s="56"/>
      <c r="J31" s="57"/>
      <c r="K31" s="57"/>
      <c r="L31" s="58">
        <f t="shared" si="0"/>
        <v>453656</v>
      </c>
    </row>
    <row r="32" spans="1:12" x14ac:dyDescent="0.25">
      <c r="A32" s="375">
        <v>1</v>
      </c>
      <c r="B32" s="376"/>
      <c r="C32" s="375">
        <v>4</v>
      </c>
      <c r="D32" s="376"/>
      <c r="E32" s="381" t="s">
        <v>310</v>
      </c>
      <c r="F32" s="382"/>
      <c r="G32" s="242" t="s">
        <v>26</v>
      </c>
      <c r="H32" s="60">
        <v>441300</v>
      </c>
      <c r="I32" s="56"/>
      <c r="J32" s="57"/>
      <c r="K32" s="57"/>
      <c r="L32" s="58">
        <f t="shared" si="0"/>
        <v>441300</v>
      </c>
    </row>
    <row r="33" spans="1:12" x14ac:dyDescent="0.25">
      <c r="A33" s="375">
        <v>1</v>
      </c>
      <c r="B33" s="376"/>
      <c r="C33" s="411" t="s">
        <v>265</v>
      </c>
      <c r="D33" s="412"/>
      <c r="E33" s="381" t="s">
        <v>222</v>
      </c>
      <c r="F33" s="382"/>
      <c r="G33" s="242" t="s">
        <v>26</v>
      </c>
      <c r="H33" s="60">
        <v>668606</v>
      </c>
      <c r="I33" s="56"/>
      <c r="J33" s="57"/>
      <c r="K33" s="57"/>
      <c r="L33" s="58">
        <f t="shared" si="0"/>
        <v>668606</v>
      </c>
    </row>
    <row r="34" spans="1:12" x14ac:dyDescent="0.25">
      <c r="A34" s="375">
        <v>1</v>
      </c>
      <c r="B34" s="376"/>
      <c r="C34" s="411" t="s">
        <v>74</v>
      </c>
      <c r="D34" s="412"/>
      <c r="E34" s="381" t="s">
        <v>192</v>
      </c>
      <c r="F34" s="382"/>
      <c r="G34" s="242" t="s">
        <v>26</v>
      </c>
      <c r="H34" s="60">
        <v>425600</v>
      </c>
      <c r="I34" s="56"/>
      <c r="J34" s="57"/>
      <c r="K34" s="57"/>
      <c r="L34" s="58">
        <f t="shared" si="0"/>
        <v>425600</v>
      </c>
    </row>
    <row r="35" spans="1:12" x14ac:dyDescent="0.25">
      <c r="A35" s="375">
        <v>1</v>
      </c>
      <c r="B35" s="376"/>
      <c r="C35" s="375">
        <v>2</v>
      </c>
      <c r="D35" s="376"/>
      <c r="E35" s="381" t="s">
        <v>475</v>
      </c>
      <c r="F35" s="382"/>
      <c r="G35" s="242" t="s">
        <v>240</v>
      </c>
      <c r="H35" s="60">
        <v>649000</v>
      </c>
      <c r="I35" s="56"/>
      <c r="J35" s="57"/>
      <c r="K35" s="57"/>
      <c r="L35" s="58">
        <f t="shared" si="0"/>
        <v>649000</v>
      </c>
    </row>
    <row r="36" spans="1:12" x14ac:dyDescent="0.25">
      <c r="A36" s="375">
        <v>1</v>
      </c>
      <c r="B36" s="376"/>
      <c r="C36" s="411" t="s">
        <v>77</v>
      </c>
      <c r="D36" s="412"/>
      <c r="E36" s="381" t="s">
        <v>476</v>
      </c>
      <c r="F36" s="382"/>
      <c r="G36" s="242" t="s">
        <v>26</v>
      </c>
      <c r="H36" s="60">
        <v>407700</v>
      </c>
      <c r="I36" s="56"/>
      <c r="J36" s="57"/>
      <c r="K36" s="57"/>
      <c r="L36" s="58">
        <f t="shared" si="0"/>
        <v>407700</v>
      </c>
    </row>
    <row r="37" spans="1:12" x14ac:dyDescent="0.25">
      <c r="A37" s="375">
        <v>1</v>
      </c>
      <c r="B37" s="376"/>
      <c r="C37" s="379" t="s">
        <v>77</v>
      </c>
      <c r="D37" s="380"/>
      <c r="E37" s="381" t="s">
        <v>477</v>
      </c>
      <c r="F37" s="382"/>
      <c r="G37" s="242" t="s">
        <v>26</v>
      </c>
      <c r="H37" s="60">
        <v>614700</v>
      </c>
      <c r="I37" s="56"/>
      <c r="J37" s="57"/>
      <c r="K37" s="57"/>
      <c r="L37" s="58">
        <f t="shared" si="0"/>
        <v>614700</v>
      </c>
    </row>
    <row r="38" spans="1:12" x14ac:dyDescent="0.25">
      <c r="A38" s="375">
        <v>1</v>
      </c>
      <c r="B38" s="376"/>
      <c r="C38" s="379" t="s">
        <v>142</v>
      </c>
      <c r="D38" s="380"/>
      <c r="E38" s="381" t="s">
        <v>463</v>
      </c>
      <c r="F38" s="382"/>
      <c r="G38" s="242" t="s">
        <v>26</v>
      </c>
      <c r="H38" s="60">
        <v>298000</v>
      </c>
      <c r="I38" s="56"/>
      <c r="J38" s="57"/>
      <c r="K38" s="57"/>
      <c r="L38" s="58">
        <f t="shared" si="0"/>
        <v>298000</v>
      </c>
    </row>
    <row r="39" spans="1:12" x14ac:dyDescent="0.25">
      <c r="A39" s="375">
        <v>1</v>
      </c>
      <c r="B39" s="376"/>
      <c r="C39" s="322">
        <v>12</v>
      </c>
      <c r="D39" s="324"/>
      <c r="E39" s="392" t="s">
        <v>106</v>
      </c>
      <c r="F39" s="393"/>
      <c r="G39" s="242" t="s">
        <v>26</v>
      </c>
      <c r="H39" s="60">
        <v>418100</v>
      </c>
      <c r="I39" s="56"/>
      <c r="J39" s="57"/>
      <c r="K39" s="57"/>
      <c r="L39" s="58">
        <f t="shared" si="0"/>
        <v>418100</v>
      </c>
    </row>
    <row r="40" spans="1:12" x14ac:dyDescent="0.25">
      <c r="A40" s="375">
        <v>1</v>
      </c>
      <c r="B40" s="376"/>
      <c r="C40" s="322">
        <v>7</v>
      </c>
      <c r="D40" s="324"/>
      <c r="E40" s="392" t="s">
        <v>248</v>
      </c>
      <c r="F40" s="393"/>
      <c r="G40" s="242" t="s">
        <v>26</v>
      </c>
      <c r="H40" s="60">
        <v>796993</v>
      </c>
      <c r="I40" s="56"/>
      <c r="J40" s="57"/>
      <c r="K40" s="57"/>
      <c r="L40" s="58">
        <f t="shared" si="0"/>
        <v>796993</v>
      </c>
    </row>
    <row r="41" spans="1:12" x14ac:dyDescent="0.25">
      <c r="A41" s="375">
        <v>1</v>
      </c>
      <c r="B41" s="376"/>
      <c r="C41" s="322">
        <v>9</v>
      </c>
      <c r="D41" s="324"/>
      <c r="E41" s="392" t="s">
        <v>161</v>
      </c>
      <c r="F41" s="393"/>
      <c r="G41" s="242" t="s">
        <v>26</v>
      </c>
      <c r="H41" s="60">
        <v>317039</v>
      </c>
      <c r="I41" s="56"/>
      <c r="J41" s="57"/>
      <c r="K41" s="57"/>
      <c r="L41" s="58">
        <f t="shared" si="0"/>
        <v>317039</v>
      </c>
    </row>
    <row r="42" spans="1:12" x14ac:dyDescent="0.25">
      <c r="A42" s="375">
        <v>1</v>
      </c>
      <c r="B42" s="376"/>
      <c r="C42" s="322">
        <v>10</v>
      </c>
      <c r="D42" s="324"/>
      <c r="E42" s="392" t="s">
        <v>161</v>
      </c>
      <c r="F42" s="393"/>
      <c r="G42" s="242" t="s">
        <v>26</v>
      </c>
      <c r="H42" s="60">
        <v>313900</v>
      </c>
      <c r="I42" s="56"/>
      <c r="J42" s="57"/>
      <c r="K42" s="57"/>
      <c r="L42" s="58">
        <f t="shared" si="0"/>
        <v>313900</v>
      </c>
    </row>
    <row r="43" spans="1:12" x14ac:dyDescent="0.25">
      <c r="A43" s="375">
        <v>1</v>
      </c>
      <c r="B43" s="376"/>
      <c r="C43" s="322">
        <v>8</v>
      </c>
      <c r="D43" s="324"/>
      <c r="E43" s="392" t="s">
        <v>227</v>
      </c>
      <c r="F43" s="393"/>
      <c r="G43" s="242" t="s">
        <v>26</v>
      </c>
      <c r="H43" s="60">
        <v>578500</v>
      </c>
      <c r="I43" s="56"/>
      <c r="J43" s="57"/>
      <c r="K43" s="57"/>
      <c r="L43" s="58">
        <f t="shared" si="0"/>
        <v>578500</v>
      </c>
    </row>
    <row r="44" spans="1:12" x14ac:dyDescent="0.25">
      <c r="A44" s="375">
        <v>1</v>
      </c>
      <c r="B44" s="376"/>
      <c r="C44" s="322">
        <v>9</v>
      </c>
      <c r="D44" s="324"/>
      <c r="E44" s="392" t="s">
        <v>193</v>
      </c>
      <c r="F44" s="393"/>
      <c r="G44" s="242" t="s">
        <v>26</v>
      </c>
      <c r="H44" s="60">
        <v>914146</v>
      </c>
      <c r="I44" s="56"/>
      <c r="J44" s="57"/>
      <c r="K44" s="57"/>
      <c r="L44" s="58">
        <f t="shared" si="0"/>
        <v>914146</v>
      </c>
    </row>
    <row r="45" spans="1:12" x14ac:dyDescent="0.25">
      <c r="A45" s="375">
        <v>9</v>
      </c>
      <c r="B45" s="376"/>
      <c r="C45" s="322" t="s">
        <v>478</v>
      </c>
      <c r="D45" s="324"/>
      <c r="E45" s="392" t="s">
        <v>479</v>
      </c>
      <c r="F45" s="393"/>
      <c r="G45" s="242" t="s">
        <v>26</v>
      </c>
      <c r="H45" s="60">
        <v>2474432</v>
      </c>
      <c r="I45" s="56"/>
      <c r="J45" s="57"/>
      <c r="K45" s="57"/>
      <c r="L45" s="58">
        <f t="shared" si="0"/>
        <v>2474432</v>
      </c>
    </row>
    <row r="46" spans="1:12" x14ac:dyDescent="0.25">
      <c r="A46" s="375">
        <v>9</v>
      </c>
      <c r="B46" s="376"/>
      <c r="C46" s="322" t="s">
        <v>478</v>
      </c>
      <c r="D46" s="324"/>
      <c r="E46" s="392" t="s">
        <v>480</v>
      </c>
      <c r="F46" s="393"/>
      <c r="G46" s="242" t="s">
        <v>26</v>
      </c>
      <c r="H46" s="60">
        <v>6878806</v>
      </c>
      <c r="I46" s="56"/>
      <c r="J46" s="57"/>
      <c r="K46" s="57"/>
      <c r="L46" s="58">
        <f t="shared" si="0"/>
        <v>6878806</v>
      </c>
    </row>
    <row r="47" spans="1:12" x14ac:dyDescent="0.25">
      <c r="A47" s="322"/>
      <c r="B47" s="324"/>
      <c r="C47" s="61" t="s">
        <v>45</v>
      </c>
      <c r="D47" s="62"/>
      <c r="E47" s="62"/>
      <c r="F47" s="62"/>
      <c r="G47" s="62"/>
      <c r="H47" s="63">
        <f>SUM(H15:H46)</f>
        <v>31277685</v>
      </c>
      <c r="I47" s="334"/>
      <c r="J47" s="335"/>
      <c r="K47" s="336"/>
      <c r="L47" s="63">
        <f>SUM(L15:L46)</f>
        <v>31277685</v>
      </c>
    </row>
    <row r="48" spans="1:12" x14ac:dyDescent="0.25">
      <c r="A48" s="64"/>
      <c r="B48" s="38"/>
      <c r="C48" s="29"/>
      <c r="D48" s="30"/>
      <c r="E48" s="30"/>
      <c r="F48" s="30"/>
      <c r="G48" s="30"/>
      <c r="H48" s="31"/>
      <c r="I48" s="31"/>
      <c r="J48" s="31"/>
      <c r="K48" s="31"/>
      <c r="L48" s="32"/>
    </row>
    <row r="49" spans="1:13" x14ac:dyDescent="0.25">
      <c r="A49" s="48" t="s">
        <v>46</v>
      </c>
      <c r="B49" s="38"/>
      <c r="C49" s="29"/>
      <c r="D49" s="30"/>
      <c r="E49" s="30"/>
      <c r="F49" s="30"/>
      <c r="G49" s="30"/>
      <c r="H49" s="31"/>
      <c r="I49" s="31"/>
      <c r="J49" s="31"/>
      <c r="K49" s="31"/>
      <c r="L49" s="32"/>
    </row>
    <row r="50" spans="1:13" x14ac:dyDescent="0.25">
      <c r="A50" s="48"/>
      <c r="B50" s="30"/>
      <c r="C50" s="30"/>
      <c r="D50" s="30"/>
      <c r="E50" s="30"/>
      <c r="F50" s="30"/>
      <c r="G50" s="30"/>
      <c r="H50" s="31"/>
      <c r="I50" s="31"/>
      <c r="J50" s="31"/>
      <c r="K50" s="31"/>
      <c r="L50" s="32"/>
    </row>
    <row r="51" spans="1:13" x14ac:dyDescent="0.25">
      <c r="A51" s="357" t="s">
        <v>47</v>
      </c>
      <c r="B51" s="358"/>
      <c r="C51" s="363" t="s">
        <v>48</v>
      </c>
      <c r="D51" s="364"/>
      <c r="E51" s="357" t="s">
        <v>49</v>
      </c>
      <c r="F51" s="369"/>
      <c r="G51" s="369"/>
      <c r="H51" s="369"/>
      <c r="I51" s="369"/>
      <c r="J51" s="369"/>
      <c r="K51" s="358"/>
      <c r="L51" s="372" t="s">
        <v>50</v>
      </c>
    </row>
    <row r="52" spans="1:13" x14ac:dyDescent="0.25">
      <c r="A52" s="359"/>
      <c r="B52" s="360"/>
      <c r="C52" s="365"/>
      <c r="D52" s="366"/>
      <c r="E52" s="359"/>
      <c r="F52" s="370"/>
      <c r="G52" s="370"/>
      <c r="H52" s="370"/>
      <c r="I52" s="370"/>
      <c r="J52" s="370"/>
      <c r="K52" s="360"/>
      <c r="L52" s="373"/>
    </row>
    <row r="53" spans="1:13" x14ac:dyDescent="0.25">
      <c r="A53" s="361"/>
      <c r="B53" s="362"/>
      <c r="C53" s="367"/>
      <c r="D53" s="368"/>
      <c r="E53" s="361"/>
      <c r="F53" s="371"/>
      <c r="G53" s="371"/>
      <c r="H53" s="371"/>
      <c r="I53" s="371"/>
      <c r="J53" s="371"/>
      <c r="K53" s="362"/>
      <c r="L53" s="374"/>
    </row>
    <row r="54" spans="1:13" x14ac:dyDescent="0.25">
      <c r="A54" s="352">
        <v>46161</v>
      </c>
      <c r="B54" s="353"/>
      <c r="C54" s="322" t="s">
        <v>100</v>
      </c>
      <c r="D54" s="324"/>
      <c r="E54" s="354" t="s">
        <v>244</v>
      </c>
      <c r="F54" s="355"/>
      <c r="G54" s="355"/>
      <c r="H54" s="355"/>
      <c r="I54" s="355"/>
      <c r="J54" s="355"/>
      <c r="K54" s="356"/>
      <c r="L54" s="55">
        <v>31277685</v>
      </c>
    </row>
    <row r="55" spans="1:13" x14ac:dyDescent="0.25">
      <c r="A55" s="352"/>
      <c r="B55" s="353"/>
      <c r="C55" s="322"/>
      <c r="D55" s="324"/>
      <c r="E55" s="354"/>
      <c r="F55" s="355"/>
      <c r="G55" s="355"/>
      <c r="H55" s="355"/>
      <c r="I55" s="355"/>
      <c r="J55" s="355"/>
      <c r="K55" s="356"/>
      <c r="L55" s="55"/>
    </row>
    <row r="56" spans="1:13" x14ac:dyDescent="0.25">
      <c r="A56" s="352"/>
      <c r="B56" s="353"/>
      <c r="C56" s="322"/>
      <c r="D56" s="324"/>
      <c r="E56" s="354"/>
      <c r="F56" s="355"/>
      <c r="G56" s="355"/>
      <c r="H56" s="355"/>
      <c r="I56" s="355"/>
      <c r="J56" s="355"/>
      <c r="K56" s="356"/>
      <c r="L56" s="55"/>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s="33" customFormat="1" x14ac:dyDescent="0.25">
      <c r="A60" s="352"/>
      <c r="B60" s="353"/>
      <c r="C60" s="322"/>
      <c r="D60" s="324"/>
      <c r="E60" s="354"/>
      <c r="F60" s="355"/>
      <c r="G60" s="355"/>
      <c r="H60" s="355"/>
      <c r="I60" s="355"/>
      <c r="J60" s="355"/>
      <c r="K60" s="356"/>
      <c r="L60" s="55"/>
    </row>
    <row r="61" spans="1:13" x14ac:dyDescent="0.25">
      <c r="A61" s="352"/>
      <c r="B61" s="353"/>
      <c r="C61" s="322"/>
      <c r="D61" s="324"/>
      <c r="E61" s="354"/>
      <c r="F61" s="355"/>
      <c r="G61" s="355"/>
      <c r="H61" s="355"/>
      <c r="I61" s="355"/>
      <c r="J61" s="355"/>
      <c r="K61" s="356"/>
      <c r="L61" s="55"/>
      <c r="M61" s="33"/>
    </row>
    <row r="62" spans="1:13" x14ac:dyDescent="0.25">
      <c r="A62" s="334" t="s">
        <v>51</v>
      </c>
      <c r="B62" s="335"/>
      <c r="C62" s="335"/>
      <c r="D62" s="335"/>
      <c r="E62" s="335"/>
      <c r="F62" s="335"/>
      <c r="G62" s="335"/>
      <c r="H62" s="335"/>
      <c r="I62" s="335"/>
      <c r="J62" s="335"/>
      <c r="K62" s="336"/>
      <c r="L62" s="63">
        <f>SUM(L54:L61)</f>
        <v>31277685</v>
      </c>
    </row>
    <row r="63" spans="1:13" x14ac:dyDescent="0.25">
      <c r="A63" s="65"/>
      <c r="B63" s="66"/>
      <c r="C63" s="66"/>
      <c r="D63" s="66"/>
      <c r="E63" s="66"/>
      <c r="F63" s="66"/>
      <c r="G63" s="66"/>
      <c r="H63" s="31"/>
      <c r="I63" s="31"/>
      <c r="J63" s="31"/>
      <c r="K63" s="31"/>
      <c r="L63" s="31"/>
    </row>
    <row r="64" spans="1:13" x14ac:dyDescent="0.25">
      <c r="A64" s="48" t="s">
        <v>52</v>
      </c>
      <c r="B64" s="30"/>
      <c r="C64" s="30"/>
      <c r="D64" s="30"/>
      <c r="E64" s="30"/>
      <c r="F64" s="30"/>
      <c r="G64" s="30"/>
      <c r="H64" s="31"/>
      <c r="I64" s="31"/>
      <c r="J64" s="31"/>
      <c r="K64" s="31"/>
      <c r="L64" s="31"/>
    </row>
    <row r="65" spans="1:13" x14ac:dyDescent="0.25">
      <c r="A65" s="44"/>
      <c r="B65" s="45"/>
      <c r="C65" s="45"/>
      <c r="D65" s="45"/>
      <c r="E65" s="45"/>
      <c r="F65" s="45"/>
      <c r="G65" s="45"/>
      <c r="H65" s="31"/>
      <c r="I65" s="31"/>
      <c r="J65" s="46"/>
      <c r="K65" s="46"/>
      <c r="L65" s="31"/>
    </row>
    <row r="66" spans="1:13" x14ac:dyDescent="0.25">
      <c r="A66" s="337" t="s">
        <v>53</v>
      </c>
      <c r="B66" s="338"/>
      <c r="C66" s="337" t="s">
        <v>54</v>
      </c>
      <c r="D66" s="338"/>
      <c r="E66" s="238" t="s">
        <v>55</v>
      </c>
      <c r="F66" s="68" t="s">
        <v>37</v>
      </c>
      <c r="G66" s="339"/>
      <c r="H66" s="340"/>
      <c r="I66" s="340"/>
      <c r="J66" s="340"/>
      <c r="K66" s="341"/>
      <c r="L66" s="348" t="s">
        <v>56</v>
      </c>
    </row>
    <row r="67" spans="1:13" x14ac:dyDescent="0.25">
      <c r="A67" s="316"/>
      <c r="B67" s="317"/>
      <c r="C67" s="350" t="s">
        <v>57</v>
      </c>
      <c r="D67" s="351"/>
      <c r="E67" s="69"/>
      <c r="F67" s="44"/>
      <c r="G67" s="342"/>
      <c r="H67" s="343"/>
      <c r="I67" s="343"/>
      <c r="J67" s="343"/>
      <c r="K67" s="344"/>
      <c r="L67" s="349"/>
    </row>
    <row r="68" spans="1:13" x14ac:dyDescent="0.25">
      <c r="A68" s="310"/>
      <c r="B68" s="312"/>
      <c r="C68" s="310"/>
      <c r="D68" s="312"/>
      <c r="E68" s="70"/>
      <c r="F68" s="241"/>
      <c r="G68" s="342"/>
      <c r="H68" s="343"/>
      <c r="I68" s="343"/>
      <c r="J68" s="343"/>
      <c r="K68" s="344"/>
      <c r="L68" s="55"/>
    </row>
    <row r="69" spans="1:13" x14ac:dyDescent="0.25">
      <c r="A69" s="310"/>
      <c r="B69" s="312"/>
      <c r="C69" s="310"/>
      <c r="D69" s="312"/>
      <c r="E69" s="70"/>
      <c r="F69" s="64"/>
      <c r="G69" s="345"/>
      <c r="H69" s="346"/>
      <c r="I69" s="346"/>
      <c r="J69" s="346"/>
      <c r="K69" s="347"/>
      <c r="L69" s="72"/>
    </row>
    <row r="70" spans="1:13" x14ac:dyDescent="0.25">
      <c r="A70" s="322" t="s">
        <v>41</v>
      </c>
      <c r="B70" s="323"/>
      <c r="C70" s="323"/>
      <c r="D70" s="323"/>
      <c r="E70" s="323"/>
      <c r="F70" s="323"/>
      <c r="G70" s="323"/>
      <c r="H70" s="323"/>
      <c r="I70" s="323"/>
      <c r="J70" s="323"/>
      <c r="K70" s="324"/>
      <c r="L70" s="73">
        <f>SUM(L68:L69)</f>
        <v>0</v>
      </c>
    </row>
    <row r="71" spans="1:13" x14ac:dyDescent="0.25">
      <c r="A71" s="325"/>
      <c r="B71" s="326"/>
      <c r="C71" s="326"/>
      <c r="D71" s="326"/>
      <c r="E71" s="326"/>
      <c r="F71" s="326"/>
      <c r="G71" s="326"/>
      <c r="H71" s="326"/>
      <c r="I71" s="326"/>
      <c r="J71" s="326"/>
      <c r="K71" s="326"/>
      <c r="L71" s="326"/>
    </row>
    <row r="72" spans="1:13" x14ac:dyDescent="0.25">
      <c r="A72" s="327" t="s">
        <v>58</v>
      </c>
      <c r="B72" s="328"/>
      <c r="C72" s="328"/>
      <c r="D72" s="328"/>
      <c r="E72" s="328"/>
      <c r="F72" s="328"/>
      <c r="G72" s="328"/>
      <c r="H72" s="328"/>
      <c r="I72" s="328"/>
      <c r="J72" s="329"/>
      <c r="K72" s="330">
        <f>K9+L47-L62-L70</f>
        <v>0</v>
      </c>
      <c r="L72" s="330"/>
    </row>
    <row r="73" spans="1:13" x14ac:dyDescent="0.25">
      <c r="A73" s="331"/>
      <c r="B73" s="332"/>
      <c r="C73" s="332"/>
      <c r="D73" s="332"/>
      <c r="E73" s="332"/>
      <c r="F73" s="332"/>
      <c r="G73" s="332"/>
      <c r="H73" s="332"/>
      <c r="I73" s="332"/>
      <c r="J73" s="332"/>
      <c r="K73" s="332"/>
      <c r="L73" s="333"/>
    </row>
    <row r="74" spans="1:13" x14ac:dyDescent="0.25">
      <c r="A74" s="305" t="s">
        <v>59</v>
      </c>
      <c r="B74" s="305"/>
      <c r="C74" s="305"/>
      <c r="D74" s="305"/>
      <c r="E74" s="305"/>
      <c r="F74" s="305" t="s">
        <v>60</v>
      </c>
      <c r="G74" s="305"/>
      <c r="H74" s="305"/>
      <c r="I74" s="306"/>
      <c r="J74" s="309" t="s">
        <v>61</v>
      </c>
      <c r="K74" s="309"/>
      <c r="L74" s="309"/>
    </row>
    <row r="75" spans="1:13" x14ac:dyDescent="0.25">
      <c r="A75" s="310"/>
      <c r="B75" s="311"/>
      <c r="C75" s="311"/>
      <c r="D75" s="311"/>
      <c r="E75" s="312"/>
      <c r="F75" s="310"/>
      <c r="G75" s="311"/>
      <c r="H75" s="312"/>
      <c r="I75" s="307"/>
      <c r="J75" s="313"/>
      <c r="K75" s="314"/>
      <c r="L75" s="315"/>
      <c r="M75" s="74"/>
    </row>
    <row r="76" spans="1:13" x14ac:dyDescent="0.25">
      <c r="A76" s="316"/>
      <c r="B76" s="317"/>
      <c r="C76" s="317"/>
      <c r="D76" s="317"/>
      <c r="E76" s="318"/>
      <c r="F76" s="316"/>
      <c r="G76" s="317"/>
      <c r="H76" s="318"/>
      <c r="I76" s="308"/>
      <c r="J76" s="319"/>
      <c r="K76" s="320"/>
      <c r="L76" s="321"/>
    </row>
    <row r="77" spans="1:13" x14ac:dyDescent="0.25">
      <c r="A77" s="33"/>
      <c r="B77" s="33"/>
      <c r="C77" s="33"/>
      <c r="D77" s="33"/>
      <c r="E77" s="33"/>
      <c r="F77" s="33"/>
      <c r="G77" s="33"/>
      <c r="H77" s="75"/>
      <c r="I77" s="75"/>
      <c r="J77" s="75"/>
      <c r="K77" s="75"/>
      <c r="L77" s="75"/>
    </row>
  </sheetData>
  <mergeCells count="164">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A41:B41"/>
    <mergeCell ref="C41:D41"/>
    <mergeCell ref="E41:F41"/>
    <mergeCell ref="A42:B42"/>
    <mergeCell ref="C42:D42"/>
    <mergeCell ref="E42:F42"/>
    <mergeCell ref="A39:B39"/>
    <mergeCell ref="C39:D39"/>
    <mergeCell ref="E39:F39"/>
    <mergeCell ref="A40:B40"/>
    <mergeCell ref="C40:D40"/>
    <mergeCell ref="E40:F40"/>
    <mergeCell ref="A47:B47"/>
    <mergeCell ref="I47:K47"/>
    <mergeCell ref="A51:B53"/>
    <mergeCell ref="C51:D53"/>
    <mergeCell ref="E51:K53"/>
    <mergeCell ref="L51:L53"/>
    <mergeCell ref="A43:B43"/>
    <mergeCell ref="C43:D43"/>
    <mergeCell ref="E43:F43"/>
    <mergeCell ref="A44:B44"/>
    <mergeCell ref="A45:B45"/>
    <mergeCell ref="A46:B46"/>
    <mergeCell ref="C44:D44"/>
    <mergeCell ref="C45:D45"/>
    <mergeCell ref="C46:D46"/>
    <mergeCell ref="E44:F44"/>
    <mergeCell ref="E45:F45"/>
    <mergeCell ref="E46:F46"/>
    <mergeCell ref="A56:B56"/>
    <mergeCell ref="C56:D56"/>
    <mergeCell ref="E56:K56"/>
    <mergeCell ref="A57:B57"/>
    <mergeCell ref="C57:D57"/>
    <mergeCell ref="E57:K57"/>
    <mergeCell ref="A54:B54"/>
    <mergeCell ref="C54:D54"/>
    <mergeCell ref="E54:K54"/>
    <mergeCell ref="A55:B55"/>
    <mergeCell ref="C55:D55"/>
    <mergeCell ref="E55:K55"/>
    <mergeCell ref="J74:L74"/>
    <mergeCell ref="A75:E75"/>
    <mergeCell ref="F75:H75"/>
    <mergeCell ref="J75:L75"/>
    <mergeCell ref="A76:E76"/>
    <mergeCell ref="F76:H76"/>
    <mergeCell ref="J76:L76"/>
    <mergeCell ref="C69:D69"/>
    <mergeCell ref="A70:K70"/>
    <mergeCell ref="A71:L71"/>
    <mergeCell ref="A72:J72"/>
    <mergeCell ref="K72:L72"/>
    <mergeCell ref="A73:L73"/>
    <mergeCell ref="G66:K69"/>
    <mergeCell ref="L66:L67"/>
    <mergeCell ref="A67:B67"/>
    <mergeCell ref="C67:D67"/>
    <mergeCell ref="A68:B68"/>
    <mergeCell ref="C68:D68"/>
    <mergeCell ref="A69:B69"/>
    <mergeCell ref="A74:E74"/>
    <mergeCell ref="F74:H74"/>
    <mergeCell ref="I74:I76"/>
    <mergeCell ref="A58:B58"/>
    <mergeCell ref="C58:D58"/>
    <mergeCell ref="E58:K58"/>
    <mergeCell ref="A59:B59"/>
    <mergeCell ref="C59:D59"/>
    <mergeCell ref="E59:K59"/>
    <mergeCell ref="A62:K62"/>
    <mergeCell ref="A66:B66"/>
    <mergeCell ref="C66:D66"/>
    <mergeCell ref="A60:B60"/>
    <mergeCell ref="C60:D60"/>
    <mergeCell ref="E60:K60"/>
    <mergeCell ref="A61:B61"/>
    <mergeCell ref="C61:D61"/>
    <mergeCell ref="E61:K6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7"/>
  <sheetViews>
    <sheetView topLeftCell="A30" workbookViewId="0">
      <selection activeCell="E50" sqref="E50"/>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44" t="s">
        <v>27</v>
      </c>
      <c r="B6" s="249" t="s">
        <v>28</v>
      </c>
      <c r="C6" s="249" t="s">
        <v>29</v>
      </c>
      <c r="D6" s="30"/>
      <c r="E6" s="30"/>
      <c r="F6" s="30"/>
      <c r="G6" s="30"/>
      <c r="H6" s="31"/>
      <c r="I6" s="31"/>
      <c r="J6" s="31"/>
      <c r="K6" s="31"/>
      <c r="L6" s="32"/>
    </row>
    <row r="7" spans="1:12" x14ac:dyDescent="0.25">
      <c r="A7" s="41" t="s">
        <v>31</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47" t="s">
        <v>40</v>
      </c>
      <c r="K13" s="247" t="s">
        <v>40</v>
      </c>
      <c r="L13" s="247" t="s">
        <v>41</v>
      </c>
    </row>
    <row r="14" spans="1:12" x14ac:dyDescent="0.25">
      <c r="A14" s="396"/>
      <c r="B14" s="397"/>
      <c r="C14" s="396"/>
      <c r="D14" s="397"/>
      <c r="E14" s="361"/>
      <c r="F14" s="362"/>
      <c r="G14" s="399"/>
      <c r="H14" s="399"/>
      <c r="I14" s="399"/>
      <c r="J14" s="248" t="s">
        <v>42</v>
      </c>
      <c r="K14" s="248" t="s">
        <v>43</v>
      </c>
      <c r="L14" s="248" t="s">
        <v>44</v>
      </c>
    </row>
    <row r="15" spans="1:12" x14ac:dyDescent="0.25">
      <c r="A15" s="385">
        <v>1</v>
      </c>
      <c r="B15" s="384"/>
      <c r="C15" s="386" t="s">
        <v>342</v>
      </c>
      <c r="D15" s="386"/>
      <c r="E15" s="383" t="s">
        <v>187</v>
      </c>
      <c r="F15" s="383"/>
      <c r="G15" s="59" t="s">
        <v>26</v>
      </c>
      <c r="H15" s="55">
        <v>804500</v>
      </c>
      <c r="I15" s="56"/>
      <c r="J15" s="57"/>
      <c r="K15" s="57"/>
      <c r="L15" s="58">
        <f t="shared" ref="L15:L46" si="0">H15</f>
        <v>804500</v>
      </c>
    </row>
    <row r="16" spans="1:12" x14ac:dyDescent="0.25">
      <c r="A16" s="385">
        <v>1</v>
      </c>
      <c r="B16" s="384"/>
      <c r="C16" s="386" t="s">
        <v>158</v>
      </c>
      <c r="D16" s="386"/>
      <c r="E16" s="383" t="s">
        <v>311</v>
      </c>
      <c r="F16" s="383"/>
      <c r="G16" s="59" t="s">
        <v>26</v>
      </c>
      <c r="H16" s="55">
        <v>1383100</v>
      </c>
      <c r="I16" s="56"/>
      <c r="J16" s="57"/>
      <c r="K16" s="57"/>
      <c r="L16" s="58">
        <f t="shared" si="0"/>
        <v>1383100</v>
      </c>
    </row>
    <row r="17" spans="1:12" x14ac:dyDescent="0.25">
      <c r="A17" s="387" t="s">
        <v>77</v>
      </c>
      <c r="B17" s="386"/>
      <c r="C17" s="386" t="s">
        <v>265</v>
      </c>
      <c r="D17" s="386"/>
      <c r="E17" s="388" t="s">
        <v>283</v>
      </c>
      <c r="F17" s="389"/>
      <c r="G17" s="246" t="s">
        <v>26</v>
      </c>
      <c r="H17" s="60">
        <v>1080900</v>
      </c>
      <c r="I17" s="56"/>
      <c r="J17" s="57"/>
      <c r="K17" s="57"/>
      <c r="L17" s="58">
        <f t="shared" si="0"/>
        <v>1080900</v>
      </c>
    </row>
    <row r="18" spans="1:12" x14ac:dyDescent="0.25">
      <c r="A18" s="387" t="s">
        <v>77</v>
      </c>
      <c r="B18" s="386"/>
      <c r="C18" s="384">
        <v>3</v>
      </c>
      <c r="D18" s="384"/>
      <c r="E18" s="388" t="s">
        <v>404</v>
      </c>
      <c r="F18" s="389"/>
      <c r="G18" s="246" t="s">
        <v>26</v>
      </c>
      <c r="H18" s="55">
        <v>488500</v>
      </c>
      <c r="I18" s="56"/>
      <c r="J18" s="57"/>
      <c r="K18" s="57"/>
      <c r="L18" s="58">
        <f t="shared" si="0"/>
        <v>488500</v>
      </c>
    </row>
    <row r="19" spans="1:12" x14ac:dyDescent="0.25">
      <c r="A19" s="387" t="s">
        <v>77</v>
      </c>
      <c r="B19" s="386"/>
      <c r="C19" s="384">
        <v>6</v>
      </c>
      <c r="D19" s="384"/>
      <c r="E19" s="388" t="s">
        <v>286</v>
      </c>
      <c r="F19" s="389"/>
      <c r="G19" s="246" t="s">
        <v>26</v>
      </c>
      <c r="H19" s="55">
        <v>1007800</v>
      </c>
      <c r="I19" s="56"/>
      <c r="J19" s="57"/>
      <c r="K19" s="57"/>
      <c r="L19" s="58">
        <f t="shared" si="0"/>
        <v>1007800</v>
      </c>
    </row>
    <row r="20" spans="1:12" x14ac:dyDescent="0.25">
      <c r="A20" s="387" t="s">
        <v>77</v>
      </c>
      <c r="B20" s="386"/>
      <c r="C20" s="379" t="s">
        <v>188</v>
      </c>
      <c r="D20" s="380"/>
      <c r="E20" s="392" t="s">
        <v>374</v>
      </c>
      <c r="F20" s="393"/>
      <c r="G20" s="246" t="s">
        <v>26</v>
      </c>
      <c r="H20" s="55">
        <v>779300</v>
      </c>
      <c r="I20" s="56"/>
      <c r="J20" s="57"/>
      <c r="K20" s="57"/>
      <c r="L20" s="58">
        <f t="shared" si="0"/>
        <v>779300</v>
      </c>
    </row>
    <row r="21" spans="1:12" x14ac:dyDescent="0.25">
      <c r="A21" s="385">
        <v>1</v>
      </c>
      <c r="B21" s="384"/>
      <c r="C21" s="386" t="s">
        <v>77</v>
      </c>
      <c r="D21" s="386"/>
      <c r="E21" s="383" t="s">
        <v>481</v>
      </c>
      <c r="F21" s="383"/>
      <c r="G21" s="59" t="s">
        <v>26</v>
      </c>
      <c r="H21" s="55">
        <v>1072700</v>
      </c>
      <c r="I21" s="56"/>
      <c r="J21" s="57"/>
      <c r="K21" s="57"/>
      <c r="L21" s="58">
        <f t="shared" si="0"/>
        <v>1072700</v>
      </c>
    </row>
    <row r="22" spans="1:12" x14ac:dyDescent="0.25">
      <c r="A22" s="375">
        <v>1</v>
      </c>
      <c r="B22" s="376"/>
      <c r="C22" s="322">
        <v>4</v>
      </c>
      <c r="D22" s="324"/>
      <c r="E22" s="383" t="s">
        <v>390</v>
      </c>
      <c r="F22" s="383"/>
      <c r="G22" s="59" t="s">
        <v>26</v>
      </c>
      <c r="H22" s="55">
        <v>440800</v>
      </c>
      <c r="I22" s="56"/>
      <c r="J22" s="57"/>
      <c r="K22" s="57"/>
      <c r="L22" s="58">
        <f t="shared" si="0"/>
        <v>440800</v>
      </c>
    </row>
    <row r="23" spans="1:12" x14ac:dyDescent="0.25">
      <c r="A23" s="375">
        <v>1</v>
      </c>
      <c r="B23" s="376"/>
      <c r="C23" s="384">
        <v>4</v>
      </c>
      <c r="D23" s="384"/>
      <c r="E23" s="383" t="s">
        <v>403</v>
      </c>
      <c r="F23" s="383"/>
      <c r="G23" s="59" t="s">
        <v>240</v>
      </c>
      <c r="H23" s="55">
        <v>1360600</v>
      </c>
      <c r="I23" s="56"/>
      <c r="J23" s="57"/>
      <c r="K23" s="57"/>
      <c r="L23" s="58">
        <f t="shared" si="0"/>
        <v>1360600</v>
      </c>
    </row>
    <row r="24" spans="1:12" x14ac:dyDescent="0.25">
      <c r="A24" s="375">
        <v>1</v>
      </c>
      <c r="B24" s="376"/>
      <c r="C24" s="379" t="s">
        <v>80</v>
      </c>
      <c r="D24" s="380"/>
      <c r="E24" s="392" t="s">
        <v>466</v>
      </c>
      <c r="F24" s="393"/>
      <c r="G24" s="59" t="s">
        <v>26</v>
      </c>
      <c r="H24" s="55">
        <v>861400</v>
      </c>
      <c r="I24" s="56"/>
      <c r="J24" s="57"/>
      <c r="K24" s="57"/>
      <c r="L24" s="58">
        <f t="shared" si="0"/>
        <v>861400</v>
      </c>
    </row>
    <row r="25" spans="1:12" x14ac:dyDescent="0.25">
      <c r="A25" s="375">
        <v>4</v>
      </c>
      <c r="B25" s="376"/>
      <c r="C25" s="379" t="s">
        <v>483</v>
      </c>
      <c r="D25" s="380"/>
      <c r="E25" s="381" t="s">
        <v>207</v>
      </c>
      <c r="F25" s="382"/>
      <c r="G25" s="59" t="s">
        <v>26</v>
      </c>
      <c r="H25" s="55">
        <v>3606400</v>
      </c>
      <c r="I25" s="56"/>
      <c r="J25" s="57"/>
      <c r="K25" s="57"/>
      <c r="L25" s="58">
        <f t="shared" si="0"/>
        <v>3606400</v>
      </c>
    </row>
    <row r="26" spans="1:12" x14ac:dyDescent="0.25">
      <c r="A26" s="375">
        <v>3</v>
      </c>
      <c r="B26" s="376"/>
      <c r="C26" s="379" t="s">
        <v>484</v>
      </c>
      <c r="D26" s="380"/>
      <c r="E26" s="381" t="s">
        <v>485</v>
      </c>
      <c r="F26" s="382"/>
      <c r="G26" s="59" t="s">
        <v>26</v>
      </c>
      <c r="H26" s="55">
        <v>2525967</v>
      </c>
      <c r="I26" s="56"/>
      <c r="J26" s="57"/>
      <c r="K26" s="57"/>
      <c r="L26" s="58">
        <f t="shared" si="0"/>
        <v>2525967</v>
      </c>
    </row>
    <row r="27" spans="1:12" x14ac:dyDescent="0.25">
      <c r="A27" s="375">
        <v>1</v>
      </c>
      <c r="B27" s="376"/>
      <c r="C27" s="322">
        <v>9</v>
      </c>
      <c r="D27" s="324"/>
      <c r="E27" s="381" t="s">
        <v>197</v>
      </c>
      <c r="F27" s="382"/>
      <c r="G27" s="246" t="s">
        <v>26</v>
      </c>
      <c r="H27" s="60">
        <v>481700</v>
      </c>
      <c r="I27" s="56"/>
      <c r="J27" s="57"/>
      <c r="K27" s="57"/>
      <c r="L27" s="58">
        <f t="shared" si="0"/>
        <v>481700</v>
      </c>
    </row>
    <row r="28" spans="1:12" x14ac:dyDescent="0.25">
      <c r="A28" s="375">
        <v>1</v>
      </c>
      <c r="B28" s="376"/>
      <c r="C28" s="322">
        <v>7</v>
      </c>
      <c r="D28" s="324"/>
      <c r="E28" s="383" t="s">
        <v>264</v>
      </c>
      <c r="F28" s="383"/>
      <c r="G28" s="246" t="s">
        <v>26</v>
      </c>
      <c r="H28" s="60">
        <v>1033600</v>
      </c>
      <c r="I28" s="56"/>
      <c r="J28" s="57"/>
      <c r="K28" s="57"/>
      <c r="L28" s="58">
        <f t="shared" si="0"/>
        <v>1033600</v>
      </c>
    </row>
    <row r="29" spans="1:12" x14ac:dyDescent="0.25">
      <c r="A29" s="375">
        <v>1</v>
      </c>
      <c r="B29" s="376"/>
      <c r="C29" s="379" t="s">
        <v>188</v>
      </c>
      <c r="D29" s="380"/>
      <c r="E29" s="377" t="s">
        <v>373</v>
      </c>
      <c r="F29" s="378"/>
      <c r="G29" s="246" t="s">
        <v>26</v>
      </c>
      <c r="H29" s="60">
        <v>419300</v>
      </c>
      <c r="I29" s="56"/>
      <c r="J29" s="57"/>
      <c r="K29" s="57"/>
      <c r="L29" s="58">
        <f t="shared" si="0"/>
        <v>419300</v>
      </c>
    </row>
    <row r="30" spans="1:12" x14ac:dyDescent="0.25">
      <c r="A30" s="375">
        <v>1</v>
      </c>
      <c r="B30" s="376"/>
      <c r="C30" s="411" t="s">
        <v>142</v>
      </c>
      <c r="D30" s="412"/>
      <c r="E30" s="381" t="s">
        <v>405</v>
      </c>
      <c r="F30" s="382"/>
      <c r="G30" s="246" t="s">
        <v>26</v>
      </c>
      <c r="H30" s="60">
        <v>989800</v>
      </c>
      <c r="I30" s="56"/>
      <c r="J30" s="57"/>
      <c r="K30" s="57"/>
      <c r="L30" s="58">
        <f t="shared" si="0"/>
        <v>989800</v>
      </c>
    </row>
    <row r="31" spans="1:12" x14ac:dyDescent="0.25">
      <c r="A31" s="375">
        <v>1</v>
      </c>
      <c r="B31" s="376"/>
      <c r="C31" s="375">
        <v>4</v>
      </c>
      <c r="D31" s="376"/>
      <c r="E31" s="381" t="s">
        <v>377</v>
      </c>
      <c r="F31" s="382"/>
      <c r="G31" s="246" t="s">
        <v>26</v>
      </c>
      <c r="H31" s="60">
        <v>568650</v>
      </c>
      <c r="I31" s="56"/>
      <c r="J31" s="57"/>
      <c r="K31" s="57"/>
      <c r="L31" s="58">
        <f t="shared" si="0"/>
        <v>568650</v>
      </c>
    </row>
    <row r="32" spans="1:12" x14ac:dyDescent="0.25">
      <c r="A32" s="375">
        <v>1</v>
      </c>
      <c r="B32" s="376"/>
      <c r="C32" s="375">
        <v>3</v>
      </c>
      <c r="D32" s="376"/>
      <c r="E32" s="381" t="s">
        <v>487</v>
      </c>
      <c r="F32" s="382"/>
      <c r="G32" s="246" t="s">
        <v>26</v>
      </c>
      <c r="H32" s="60">
        <v>840000</v>
      </c>
      <c r="I32" s="56"/>
      <c r="J32" s="57"/>
      <c r="K32" s="57"/>
      <c r="L32" s="58">
        <f t="shared" si="0"/>
        <v>840000</v>
      </c>
    </row>
    <row r="33" spans="1:12" x14ac:dyDescent="0.25">
      <c r="A33" s="375">
        <v>1</v>
      </c>
      <c r="B33" s="376"/>
      <c r="C33" s="411" t="s">
        <v>80</v>
      </c>
      <c r="D33" s="412"/>
      <c r="E33" s="381" t="s">
        <v>470</v>
      </c>
      <c r="F33" s="382"/>
      <c r="G33" s="246" t="s">
        <v>26</v>
      </c>
      <c r="H33" s="60">
        <v>1042675</v>
      </c>
      <c r="I33" s="56"/>
      <c r="J33" s="57"/>
      <c r="K33" s="57"/>
      <c r="L33" s="58">
        <f t="shared" si="0"/>
        <v>1042675</v>
      </c>
    </row>
    <row r="34" spans="1:12" x14ac:dyDescent="0.25">
      <c r="A34" s="375">
        <v>1</v>
      </c>
      <c r="B34" s="376"/>
      <c r="C34" s="411" t="s">
        <v>217</v>
      </c>
      <c r="D34" s="412"/>
      <c r="E34" s="381" t="s">
        <v>191</v>
      </c>
      <c r="F34" s="382"/>
      <c r="G34" s="246" t="s">
        <v>26</v>
      </c>
      <c r="H34" s="60">
        <v>344715</v>
      </c>
      <c r="I34" s="56"/>
      <c r="J34" s="57"/>
      <c r="K34" s="57"/>
      <c r="L34" s="58">
        <f t="shared" si="0"/>
        <v>344715</v>
      </c>
    </row>
    <row r="35" spans="1:12" x14ac:dyDescent="0.25">
      <c r="A35" s="375">
        <v>1</v>
      </c>
      <c r="B35" s="376"/>
      <c r="C35" s="375">
        <v>9</v>
      </c>
      <c r="D35" s="376"/>
      <c r="E35" s="381" t="s">
        <v>191</v>
      </c>
      <c r="F35" s="382"/>
      <c r="G35" s="246" t="s">
        <v>26</v>
      </c>
      <c r="H35" s="60">
        <v>335523</v>
      </c>
      <c r="I35" s="56"/>
      <c r="J35" s="57"/>
      <c r="K35" s="57"/>
      <c r="L35" s="58">
        <f t="shared" si="0"/>
        <v>335523</v>
      </c>
    </row>
    <row r="36" spans="1:12" x14ac:dyDescent="0.25">
      <c r="A36" s="375">
        <v>1</v>
      </c>
      <c r="B36" s="376"/>
      <c r="C36" s="411" t="s">
        <v>188</v>
      </c>
      <c r="D36" s="412"/>
      <c r="E36" s="381" t="s">
        <v>387</v>
      </c>
      <c r="F36" s="382"/>
      <c r="G36" s="246" t="s">
        <v>26</v>
      </c>
      <c r="H36" s="60">
        <v>1218500</v>
      </c>
      <c r="I36" s="56"/>
      <c r="J36" s="57"/>
      <c r="K36" s="57"/>
      <c r="L36" s="58">
        <f t="shared" si="0"/>
        <v>1218500</v>
      </c>
    </row>
    <row r="37" spans="1:12" x14ac:dyDescent="0.25">
      <c r="A37" s="375">
        <v>1</v>
      </c>
      <c r="B37" s="376"/>
      <c r="C37" s="379" t="s">
        <v>80</v>
      </c>
      <c r="D37" s="380"/>
      <c r="E37" s="381" t="s">
        <v>471</v>
      </c>
      <c r="F37" s="382"/>
      <c r="G37" s="246" t="s">
        <v>26</v>
      </c>
      <c r="H37" s="60">
        <v>452200</v>
      </c>
      <c r="I37" s="56"/>
      <c r="J37" s="57"/>
      <c r="K37" s="57"/>
      <c r="L37" s="58">
        <f t="shared" si="0"/>
        <v>452200</v>
      </c>
    </row>
    <row r="38" spans="1:12" x14ac:dyDescent="0.25">
      <c r="A38" s="375">
        <v>1</v>
      </c>
      <c r="B38" s="376"/>
      <c r="C38" s="379" t="s">
        <v>188</v>
      </c>
      <c r="D38" s="380"/>
      <c r="E38" s="381" t="s">
        <v>380</v>
      </c>
      <c r="F38" s="382"/>
      <c r="G38" s="246" t="s">
        <v>26</v>
      </c>
      <c r="H38" s="60">
        <v>1376500</v>
      </c>
      <c r="I38" s="56"/>
      <c r="J38" s="57"/>
      <c r="K38" s="57"/>
      <c r="L38" s="58">
        <f t="shared" si="0"/>
        <v>1376500</v>
      </c>
    </row>
    <row r="39" spans="1:12" x14ac:dyDescent="0.25">
      <c r="A39" s="375">
        <v>1</v>
      </c>
      <c r="B39" s="376"/>
      <c r="C39" s="322">
        <v>9</v>
      </c>
      <c r="D39" s="324"/>
      <c r="E39" s="392" t="s">
        <v>194</v>
      </c>
      <c r="F39" s="393"/>
      <c r="G39" s="246" t="s">
        <v>26</v>
      </c>
      <c r="H39" s="60">
        <v>740359</v>
      </c>
      <c r="I39" s="56"/>
      <c r="J39" s="57"/>
      <c r="K39" s="57"/>
      <c r="L39" s="58">
        <f t="shared" si="0"/>
        <v>740359</v>
      </c>
    </row>
    <row r="40" spans="1:12" x14ac:dyDescent="0.25">
      <c r="A40" s="375">
        <v>1</v>
      </c>
      <c r="B40" s="376"/>
      <c r="C40" s="322">
        <v>9</v>
      </c>
      <c r="D40" s="324"/>
      <c r="E40" s="392" t="s">
        <v>186</v>
      </c>
      <c r="F40" s="393"/>
      <c r="G40" s="246" t="s">
        <v>26</v>
      </c>
      <c r="H40" s="60">
        <v>726546</v>
      </c>
      <c r="I40" s="56"/>
      <c r="J40" s="57"/>
      <c r="K40" s="57"/>
      <c r="L40" s="58">
        <f t="shared" si="0"/>
        <v>726546</v>
      </c>
    </row>
    <row r="41" spans="1:12" x14ac:dyDescent="0.25">
      <c r="A41" s="375">
        <v>1</v>
      </c>
      <c r="B41" s="376"/>
      <c r="C41" s="322">
        <v>12</v>
      </c>
      <c r="D41" s="324"/>
      <c r="E41" s="392" t="s">
        <v>104</v>
      </c>
      <c r="F41" s="393"/>
      <c r="G41" s="246" t="s">
        <v>26</v>
      </c>
      <c r="H41" s="60">
        <v>443573</v>
      </c>
      <c r="I41" s="56"/>
      <c r="J41" s="57"/>
      <c r="K41" s="57"/>
      <c r="L41" s="58">
        <f t="shared" si="0"/>
        <v>443573</v>
      </c>
    </row>
    <row r="42" spans="1:12" x14ac:dyDescent="0.25">
      <c r="A42" s="375">
        <v>1</v>
      </c>
      <c r="B42" s="376"/>
      <c r="C42" s="322">
        <v>4</v>
      </c>
      <c r="D42" s="324"/>
      <c r="E42" s="392" t="s">
        <v>381</v>
      </c>
      <c r="F42" s="393"/>
      <c r="G42" s="246" t="s">
        <v>26</v>
      </c>
      <c r="H42" s="60">
        <v>308200</v>
      </c>
      <c r="I42" s="56"/>
      <c r="J42" s="57"/>
      <c r="K42" s="57"/>
      <c r="L42" s="58">
        <f t="shared" si="0"/>
        <v>308200</v>
      </c>
    </row>
    <row r="43" spans="1:12" x14ac:dyDescent="0.25">
      <c r="A43" s="375">
        <v>1</v>
      </c>
      <c r="B43" s="376"/>
      <c r="C43" s="322">
        <v>1</v>
      </c>
      <c r="D43" s="324"/>
      <c r="E43" s="392" t="s">
        <v>486</v>
      </c>
      <c r="F43" s="393"/>
      <c r="G43" s="246" t="s">
        <v>26</v>
      </c>
      <c r="H43" s="60">
        <v>18502</v>
      </c>
      <c r="I43" s="56"/>
      <c r="J43" s="57"/>
      <c r="K43" s="57"/>
      <c r="L43" s="58">
        <f t="shared" si="0"/>
        <v>18502</v>
      </c>
    </row>
    <row r="44" spans="1:12" x14ac:dyDescent="0.25">
      <c r="A44" s="375">
        <v>1</v>
      </c>
      <c r="B44" s="376"/>
      <c r="C44" s="322">
        <v>3</v>
      </c>
      <c r="D44" s="324"/>
      <c r="E44" s="392" t="s">
        <v>486</v>
      </c>
      <c r="F44" s="393"/>
      <c r="G44" s="246" t="s">
        <v>26</v>
      </c>
      <c r="H44" s="60">
        <v>1000</v>
      </c>
      <c r="I44" s="56"/>
      <c r="J44" s="57"/>
      <c r="K44" s="57"/>
      <c r="L44" s="58">
        <f t="shared" si="0"/>
        <v>1000</v>
      </c>
    </row>
    <row r="45" spans="1:12" x14ac:dyDescent="0.25">
      <c r="A45" s="375">
        <v>1</v>
      </c>
      <c r="B45" s="376"/>
      <c r="C45" s="322">
        <v>4</v>
      </c>
      <c r="D45" s="324"/>
      <c r="E45" s="392" t="s">
        <v>384</v>
      </c>
      <c r="F45" s="393"/>
      <c r="G45" s="246" t="s">
        <v>26</v>
      </c>
      <c r="H45" s="60">
        <v>855297</v>
      </c>
      <c r="I45" s="56"/>
      <c r="J45" s="57"/>
      <c r="K45" s="57"/>
      <c r="L45" s="58">
        <f t="shared" si="0"/>
        <v>855297</v>
      </c>
    </row>
    <row r="46" spans="1:12" x14ac:dyDescent="0.25">
      <c r="A46" s="375">
        <v>1</v>
      </c>
      <c r="B46" s="376"/>
      <c r="C46" s="322">
        <v>9</v>
      </c>
      <c r="D46" s="324"/>
      <c r="E46" s="392" t="s">
        <v>249</v>
      </c>
      <c r="F46" s="393"/>
      <c r="G46" s="246" t="s">
        <v>240</v>
      </c>
      <c r="H46" s="60">
        <v>287300</v>
      </c>
      <c r="I46" s="56"/>
      <c r="J46" s="57"/>
      <c r="K46" s="57"/>
      <c r="L46" s="58">
        <f t="shared" si="0"/>
        <v>287300</v>
      </c>
    </row>
    <row r="47" spans="1:12" x14ac:dyDescent="0.25">
      <c r="A47" s="322"/>
      <c r="B47" s="324"/>
      <c r="C47" s="61" t="s">
        <v>45</v>
      </c>
      <c r="D47" s="62"/>
      <c r="E47" s="62"/>
      <c r="F47" s="62"/>
      <c r="G47" s="62"/>
      <c r="H47" s="63">
        <f>SUM(H15:H46)</f>
        <v>27895907</v>
      </c>
      <c r="I47" s="334"/>
      <c r="J47" s="335"/>
      <c r="K47" s="336"/>
      <c r="L47" s="63">
        <f>SUM(L15:L46)</f>
        <v>27895907</v>
      </c>
    </row>
    <row r="48" spans="1:12" x14ac:dyDescent="0.25">
      <c r="A48" s="64"/>
      <c r="B48" s="38"/>
      <c r="C48" s="29"/>
      <c r="D48" s="30"/>
      <c r="E48" s="30"/>
      <c r="F48" s="30"/>
      <c r="G48" s="30"/>
      <c r="H48" s="31"/>
      <c r="I48" s="31"/>
      <c r="J48" s="31"/>
      <c r="K48" s="31"/>
      <c r="L48" s="32"/>
    </row>
    <row r="49" spans="1:13" x14ac:dyDescent="0.25">
      <c r="A49" s="48" t="s">
        <v>46</v>
      </c>
      <c r="B49" s="38"/>
      <c r="C49" s="29"/>
      <c r="D49" s="30"/>
      <c r="E49" s="30"/>
      <c r="F49" s="30"/>
      <c r="G49" s="30"/>
      <c r="H49" s="31"/>
      <c r="I49" s="31"/>
      <c r="J49" s="31"/>
      <c r="K49" s="31"/>
      <c r="L49" s="32"/>
    </row>
    <row r="50" spans="1:13" x14ac:dyDescent="0.25">
      <c r="A50" s="48"/>
      <c r="B50" s="30"/>
      <c r="C50" s="30"/>
      <c r="D50" s="30"/>
      <c r="E50" s="30"/>
      <c r="F50" s="30"/>
      <c r="G50" s="30"/>
      <c r="H50" s="31"/>
      <c r="I50" s="31"/>
      <c r="J50" s="31"/>
      <c r="K50" s="31"/>
      <c r="L50" s="32"/>
    </row>
    <row r="51" spans="1:13" x14ac:dyDescent="0.25">
      <c r="A51" s="357" t="s">
        <v>47</v>
      </c>
      <c r="B51" s="358"/>
      <c r="C51" s="363" t="s">
        <v>48</v>
      </c>
      <c r="D51" s="364"/>
      <c r="E51" s="357" t="s">
        <v>49</v>
      </c>
      <c r="F51" s="369"/>
      <c r="G51" s="369"/>
      <c r="H51" s="369"/>
      <c r="I51" s="369"/>
      <c r="J51" s="369"/>
      <c r="K51" s="358"/>
      <c r="L51" s="372" t="s">
        <v>50</v>
      </c>
    </row>
    <row r="52" spans="1:13" x14ac:dyDescent="0.25">
      <c r="A52" s="359"/>
      <c r="B52" s="360"/>
      <c r="C52" s="365"/>
      <c r="D52" s="366"/>
      <c r="E52" s="359"/>
      <c r="F52" s="370"/>
      <c r="G52" s="370"/>
      <c r="H52" s="370"/>
      <c r="I52" s="370"/>
      <c r="J52" s="370"/>
      <c r="K52" s="360"/>
      <c r="L52" s="373"/>
    </row>
    <row r="53" spans="1:13" x14ac:dyDescent="0.25">
      <c r="A53" s="361"/>
      <c r="B53" s="362"/>
      <c r="C53" s="367"/>
      <c r="D53" s="368"/>
      <c r="E53" s="361"/>
      <c r="F53" s="371"/>
      <c r="G53" s="371"/>
      <c r="H53" s="371"/>
      <c r="I53" s="371"/>
      <c r="J53" s="371"/>
      <c r="K53" s="362"/>
      <c r="L53" s="374"/>
    </row>
    <row r="54" spans="1:13" x14ac:dyDescent="0.25">
      <c r="A54" s="352">
        <v>46113</v>
      </c>
      <c r="B54" s="353"/>
      <c r="C54" s="322" t="s">
        <v>100</v>
      </c>
      <c r="D54" s="324"/>
      <c r="E54" s="354" t="s">
        <v>482</v>
      </c>
      <c r="F54" s="355"/>
      <c r="G54" s="355"/>
      <c r="H54" s="355"/>
      <c r="I54" s="355"/>
      <c r="J54" s="355"/>
      <c r="K54" s="356"/>
      <c r="L54" s="55">
        <v>180000</v>
      </c>
    </row>
    <row r="55" spans="1:13" x14ac:dyDescent="0.25">
      <c r="A55" s="352">
        <v>46167</v>
      </c>
      <c r="B55" s="353"/>
      <c r="C55" s="322" t="s">
        <v>100</v>
      </c>
      <c r="D55" s="324"/>
      <c r="E55" s="354" t="s">
        <v>244</v>
      </c>
      <c r="F55" s="355"/>
      <c r="G55" s="355"/>
      <c r="H55" s="355"/>
      <c r="I55" s="355"/>
      <c r="J55" s="355"/>
      <c r="K55" s="356"/>
      <c r="L55" s="55">
        <v>27715907</v>
      </c>
    </row>
    <row r="56" spans="1:13" x14ac:dyDescent="0.25">
      <c r="A56" s="352"/>
      <c r="B56" s="353"/>
      <c r="C56" s="322"/>
      <c r="D56" s="324"/>
      <c r="E56" s="354"/>
      <c r="F56" s="355"/>
      <c r="G56" s="355"/>
      <c r="H56" s="355"/>
      <c r="I56" s="355"/>
      <c r="J56" s="355"/>
      <c r="K56" s="356"/>
      <c r="L56" s="55"/>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s="33" customFormat="1" x14ac:dyDescent="0.25">
      <c r="A60" s="352"/>
      <c r="B60" s="353"/>
      <c r="C60" s="322"/>
      <c r="D60" s="324"/>
      <c r="E60" s="354"/>
      <c r="F60" s="355"/>
      <c r="G60" s="355"/>
      <c r="H60" s="355"/>
      <c r="I60" s="355"/>
      <c r="J60" s="355"/>
      <c r="K60" s="356"/>
      <c r="L60" s="55"/>
    </row>
    <row r="61" spans="1:13" x14ac:dyDescent="0.25">
      <c r="A61" s="352"/>
      <c r="B61" s="353"/>
      <c r="C61" s="322"/>
      <c r="D61" s="324"/>
      <c r="E61" s="354"/>
      <c r="F61" s="355"/>
      <c r="G61" s="355"/>
      <c r="H61" s="355"/>
      <c r="I61" s="355"/>
      <c r="J61" s="355"/>
      <c r="K61" s="356"/>
      <c r="L61" s="55"/>
      <c r="M61" s="33"/>
    </row>
    <row r="62" spans="1:13" x14ac:dyDescent="0.25">
      <c r="A62" s="334" t="s">
        <v>51</v>
      </c>
      <c r="B62" s="335"/>
      <c r="C62" s="335"/>
      <c r="D62" s="335"/>
      <c r="E62" s="335"/>
      <c r="F62" s="335"/>
      <c r="G62" s="335"/>
      <c r="H62" s="335"/>
      <c r="I62" s="335"/>
      <c r="J62" s="335"/>
      <c r="K62" s="336"/>
      <c r="L62" s="63">
        <f>SUM(L54:L61)</f>
        <v>27895907</v>
      </c>
    </row>
    <row r="63" spans="1:13" x14ac:dyDescent="0.25">
      <c r="A63" s="65"/>
      <c r="B63" s="66"/>
      <c r="C63" s="66"/>
      <c r="D63" s="66"/>
      <c r="E63" s="66"/>
      <c r="F63" s="66"/>
      <c r="G63" s="66"/>
      <c r="H63" s="31"/>
      <c r="I63" s="31"/>
      <c r="J63" s="31"/>
      <c r="K63" s="31"/>
      <c r="L63" s="31"/>
    </row>
    <row r="64" spans="1:13" x14ac:dyDescent="0.25">
      <c r="A64" s="48" t="s">
        <v>52</v>
      </c>
      <c r="B64" s="30"/>
      <c r="C64" s="30"/>
      <c r="D64" s="30"/>
      <c r="E64" s="30"/>
      <c r="F64" s="30"/>
      <c r="G64" s="30"/>
      <c r="H64" s="31"/>
      <c r="I64" s="31"/>
      <c r="J64" s="31"/>
      <c r="K64" s="31"/>
      <c r="L64" s="31"/>
    </row>
    <row r="65" spans="1:13" x14ac:dyDescent="0.25">
      <c r="A65" s="44"/>
      <c r="B65" s="45"/>
      <c r="C65" s="45"/>
      <c r="D65" s="45"/>
      <c r="E65" s="45"/>
      <c r="F65" s="45"/>
      <c r="G65" s="45"/>
      <c r="H65" s="31"/>
      <c r="I65" s="31"/>
      <c r="J65" s="46"/>
      <c r="K65" s="46"/>
      <c r="L65" s="31"/>
    </row>
    <row r="66" spans="1:13" x14ac:dyDescent="0.25">
      <c r="A66" s="337" t="s">
        <v>53</v>
      </c>
      <c r="B66" s="338"/>
      <c r="C66" s="337" t="s">
        <v>54</v>
      </c>
      <c r="D66" s="338"/>
      <c r="E66" s="243" t="s">
        <v>55</v>
      </c>
      <c r="F66" s="68" t="s">
        <v>37</v>
      </c>
      <c r="G66" s="339"/>
      <c r="H66" s="340"/>
      <c r="I66" s="340"/>
      <c r="J66" s="340"/>
      <c r="K66" s="341"/>
      <c r="L66" s="348" t="s">
        <v>56</v>
      </c>
    </row>
    <row r="67" spans="1:13" x14ac:dyDescent="0.25">
      <c r="A67" s="316"/>
      <c r="B67" s="317"/>
      <c r="C67" s="350" t="s">
        <v>57</v>
      </c>
      <c r="D67" s="351"/>
      <c r="E67" s="69"/>
      <c r="F67" s="44"/>
      <c r="G67" s="342"/>
      <c r="H67" s="343"/>
      <c r="I67" s="343"/>
      <c r="J67" s="343"/>
      <c r="K67" s="344"/>
      <c r="L67" s="349"/>
    </row>
    <row r="68" spans="1:13" x14ac:dyDescent="0.25">
      <c r="A68" s="310"/>
      <c r="B68" s="312"/>
      <c r="C68" s="310"/>
      <c r="D68" s="312"/>
      <c r="E68" s="70"/>
      <c r="F68" s="245"/>
      <c r="G68" s="342"/>
      <c r="H68" s="343"/>
      <c r="I68" s="343"/>
      <c r="J68" s="343"/>
      <c r="K68" s="344"/>
      <c r="L68" s="55"/>
    </row>
    <row r="69" spans="1:13" x14ac:dyDescent="0.25">
      <c r="A69" s="310"/>
      <c r="B69" s="312"/>
      <c r="C69" s="310"/>
      <c r="D69" s="312"/>
      <c r="E69" s="70"/>
      <c r="F69" s="64"/>
      <c r="G69" s="345"/>
      <c r="H69" s="346"/>
      <c r="I69" s="346"/>
      <c r="J69" s="346"/>
      <c r="K69" s="347"/>
      <c r="L69" s="72"/>
    </row>
    <row r="70" spans="1:13" x14ac:dyDescent="0.25">
      <c r="A70" s="322" t="s">
        <v>41</v>
      </c>
      <c r="B70" s="323"/>
      <c r="C70" s="323"/>
      <c r="D70" s="323"/>
      <c r="E70" s="323"/>
      <c r="F70" s="323"/>
      <c r="G70" s="323"/>
      <c r="H70" s="323"/>
      <c r="I70" s="323"/>
      <c r="J70" s="323"/>
      <c r="K70" s="324"/>
      <c r="L70" s="73">
        <f>SUM(L68:L69)</f>
        <v>0</v>
      </c>
    </row>
    <row r="71" spans="1:13" x14ac:dyDescent="0.25">
      <c r="A71" s="325"/>
      <c r="B71" s="326"/>
      <c r="C71" s="326"/>
      <c r="D71" s="326"/>
      <c r="E71" s="326"/>
      <c r="F71" s="326"/>
      <c r="G71" s="326"/>
      <c r="H71" s="326"/>
      <c r="I71" s="326"/>
      <c r="J71" s="326"/>
      <c r="K71" s="326"/>
      <c r="L71" s="326"/>
    </row>
    <row r="72" spans="1:13" x14ac:dyDescent="0.25">
      <c r="A72" s="327" t="s">
        <v>58</v>
      </c>
      <c r="B72" s="328"/>
      <c r="C72" s="328"/>
      <c r="D72" s="328"/>
      <c r="E72" s="328"/>
      <c r="F72" s="328"/>
      <c r="G72" s="328"/>
      <c r="H72" s="328"/>
      <c r="I72" s="328"/>
      <c r="J72" s="329"/>
      <c r="K72" s="330">
        <f>K9+L47-L62-L70</f>
        <v>0</v>
      </c>
      <c r="L72" s="330"/>
    </row>
    <row r="73" spans="1:13" x14ac:dyDescent="0.25">
      <c r="A73" s="331"/>
      <c r="B73" s="332"/>
      <c r="C73" s="332"/>
      <c r="D73" s="332"/>
      <c r="E73" s="332"/>
      <c r="F73" s="332"/>
      <c r="G73" s="332"/>
      <c r="H73" s="332"/>
      <c r="I73" s="332"/>
      <c r="J73" s="332"/>
      <c r="K73" s="332"/>
      <c r="L73" s="333"/>
    </row>
    <row r="74" spans="1:13" x14ac:dyDescent="0.25">
      <c r="A74" s="305" t="s">
        <v>59</v>
      </c>
      <c r="B74" s="305"/>
      <c r="C74" s="305"/>
      <c r="D74" s="305"/>
      <c r="E74" s="305"/>
      <c r="F74" s="305" t="s">
        <v>60</v>
      </c>
      <c r="G74" s="305"/>
      <c r="H74" s="305"/>
      <c r="I74" s="306"/>
      <c r="J74" s="309" t="s">
        <v>61</v>
      </c>
      <c r="K74" s="309"/>
      <c r="L74" s="309"/>
    </row>
    <row r="75" spans="1:13" x14ac:dyDescent="0.25">
      <c r="A75" s="310"/>
      <c r="B75" s="311"/>
      <c r="C75" s="311"/>
      <c r="D75" s="311"/>
      <c r="E75" s="312"/>
      <c r="F75" s="310"/>
      <c r="G75" s="311"/>
      <c r="H75" s="312"/>
      <c r="I75" s="307"/>
      <c r="J75" s="313"/>
      <c r="K75" s="314"/>
      <c r="L75" s="315"/>
      <c r="M75" s="74"/>
    </row>
    <row r="76" spans="1:13" x14ac:dyDescent="0.25">
      <c r="A76" s="316"/>
      <c r="B76" s="317"/>
      <c r="C76" s="317"/>
      <c r="D76" s="317"/>
      <c r="E76" s="318"/>
      <c r="F76" s="316"/>
      <c r="G76" s="317"/>
      <c r="H76" s="318"/>
      <c r="I76" s="308"/>
      <c r="J76" s="319"/>
      <c r="K76" s="320"/>
      <c r="L76" s="321"/>
    </row>
    <row r="77" spans="1:13" x14ac:dyDescent="0.25">
      <c r="A77" s="33"/>
      <c r="B77" s="33"/>
      <c r="C77" s="33"/>
      <c r="D77" s="33"/>
      <c r="E77" s="33"/>
      <c r="F77" s="33"/>
      <c r="G77" s="33"/>
      <c r="H77" s="75"/>
      <c r="I77" s="75"/>
      <c r="J77" s="75"/>
      <c r="K77" s="75"/>
      <c r="L77" s="75"/>
    </row>
  </sheetData>
  <mergeCells count="164">
    <mergeCell ref="A74:E74"/>
    <mergeCell ref="F74:H74"/>
    <mergeCell ref="I74:I76"/>
    <mergeCell ref="J74:L74"/>
    <mergeCell ref="A75:E75"/>
    <mergeCell ref="F75:H75"/>
    <mergeCell ref="J75:L75"/>
    <mergeCell ref="A76:E76"/>
    <mergeCell ref="F76:H76"/>
    <mergeCell ref="J76:L76"/>
    <mergeCell ref="C69:D69"/>
    <mergeCell ref="A70:K70"/>
    <mergeCell ref="A71:L71"/>
    <mergeCell ref="A72:J72"/>
    <mergeCell ref="K72:L72"/>
    <mergeCell ref="A73:L73"/>
    <mergeCell ref="A62:K62"/>
    <mergeCell ref="A66:B66"/>
    <mergeCell ref="C66:D66"/>
    <mergeCell ref="G66:K69"/>
    <mergeCell ref="L66:L67"/>
    <mergeCell ref="A67:B67"/>
    <mergeCell ref="C67:D67"/>
    <mergeCell ref="A68:B68"/>
    <mergeCell ref="C68:D68"/>
    <mergeCell ref="A69:B69"/>
    <mergeCell ref="A60:B60"/>
    <mergeCell ref="C60:D60"/>
    <mergeCell ref="E60:K60"/>
    <mergeCell ref="A61:B61"/>
    <mergeCell ref="C61:D61"/>
    <mergeCell ref="E61:K61"/>
    <mergeCell ref="A58:B58"/>
    <mergeCell ref="C58:D58"/>
    <mergeCell ref="E58:K58"/>
    <mergeCell ref="A59:B59"/>
    <mergeCell ref="C59:D59"/>
    <mergeCell ref="E59:K59"/>
    <mergeCell ref="A56:B56"/>
    <mergeCell ref="C56:D56"/>
    <mergeCell ref="E56:K56"/>
    <mergeCell ref="A57:B57"/>
    <mergeCell ref="C57:D57"/>
    <mergeCell ref="E57:K57"/>
    <mergeCell ref="A54:B54"/>
    <mergeCell ref="C54:D54"/>
    <mergeCell ref="E54:K54"/>
    <mergeCell ref="A55:B55"/>
    <mergeCell ref="C55:D55"/>
    <mergeCell ref="E55:K55"/>
    <mergeCell ref="A47:B47"/>
    <mergeCell ref="I47:K47"/>
    <mergeCell ref="A51:B53"/>
    <mergeCell ref="C51:D53"/>
    <mergeCell ref="E51:K53"/>
    <mergeCell ref="L51:L53"/>
    <mergeCell ref="A45:B45"/>
    <mergeCell ref="C45:D45"/>
    <mergeCell ref="E45:F45"/>
    <mergeCell ref="A46:B46"/>
    <mergeCell ref="C46:D46"/>
    <mergeCell ref="E46:F46"/>
    <mergeCell ref="A43:B43"/>
    <mergeCell ref="C43:D43"/>
    <mergeCell ref="E43:F43"/>
    <mergeCell ref="A44:B44"/>
    <mergeCell ref="C44:D44"/>
    <mergeCell ref="E44:F44"/>
    <mergeCell ref="A41:B41"/>
    <mergeCell ref="C41:D41"/>
    <mergeCell ref="E41:F41"/>
    <mergeCell ref="A42:B42"/>
    <mergeCell ref="C42:D42"/>
    <mergeCell ref="E42:F42"/>
    <mergeCell ref="A39:B39"/>
    <mergeCell ref="C39:D39"/>
    <mergeCell ref="E39:F39"/>
    <mergeCell ref="A40:B40"/>
    <mergeCell ref="C40:D40"/>
    <mergeCell ref="E40:F40"/>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
  <sheetViews>
    <sheetView topLeftCell="A12" workbookViewId="0">
      <selection activeCell="A12" sqref="A12"/>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44" t="s">
        <v>27</v>
      </c>
      <c r="B6" s="249" t="s">
        <v>28</v>
      </c>
      <c r="C6" s="249" t="s">
        <v>29</v>
      </c>
      <c r="D6" s="30"/>
      <c r="E6" s="30"/>
      <c r="F6" s="30"/>
      <c r="G6" s="30"/>
      <c r="H6" s="31"/>
      <c r="I6" s="31"/>
      <c r="J6" s="31"/>
      <c r="K6" s="31"/>
      <c r="L6" s="32"/>
    </row>
    <row r="7" spans="1:12" x14ac:dyDescent="0.25">
      <c r="A7" s="41" t="s">
        <v>488</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47" t="s">
        <v>40</v>
      </c>
      <c r="K13" s="247" t="s">
        <v>40</v>
      </c>
      <c r="L13" s="247" t="s">
        <v>41</v>
      </c>
    </row>
    <row r="14" spans="1:12" x14ac:dyDescent="0.25">
      <c r="A14" s="396"/>
      <c r="B14" s="397"/>
      <c r="C14" s="396"/>
      <c r="D14" s="397"/>
      <c r="E14" s="361"/>
      <c r="F14" s="362"/>
      <c r="G14" s="399"/>
      <c r="H14" s="399"/>
      <c r="I14" s="399"/>
      <c r="J14" s="248" t="s">
        <v>42</v>
      </c>
      <c r="K14" s="248" t="s">
        <v>43</v>
      </c>
      <c r="L14" s="248" t="s">
        <v>44</v>
      </c>
    </row>
    <row r="15" spans="1:12" x14ac:dyDescent="0.25">
      <c r="A15" s="385">
        <v>1</v>
      </c>
      <c r="B15" s="384"/>
      <c r="C15" s="386" t="s">
        <v>188</v>
      </c>
      <c r="D15" s="386"/>
      <c r="E15" s="383" t="s">
        <v>382</v>
      </c>
      <c r="F15" s="383"/>
      <c r="G15" s="59" t="s">
        <v>26</v>
      </c>
      <c r="H15" s="55">
        <v>1394395</v>
      </c>
      <c r="I15" s="56"/>
      <c r="J15" s="57"/>
      <c r="K15" s="57"/>
      <c r="L15" s="58">
        <f t="shared" ref="L15:L49" si="0">H15</f>
        <v>1394395</v>
      </c>
    </row>
    <row r="16" spans="1:12" x14ac:dyDescent="0.25">
      <c r="A16" s="385">
        <v>1</v>
      </c>
      <c r="B16" s="384"/>
      <c r="C16" s="386" t="s">
        <v>142</v>
      </c>
      <c r="D16" s="386"/>
      <c r="E16" s="383" t="s">
        <v>414</v>
      </c>
      <c r="F16" s="383"/>
      <c r="G16" s="59" t="s">
        <v>26</v>
      </c>
      <c r="H16" s="55">
        <v>452200</v>
      </c>
      <c r="I16" s="56"/>
      <c r="J16" s="57"/>
      <c r="K16" s="57"/>
      <c r="L16" s="58">
        <f t="shared" si="0"/>
        <v>452200</v>
      </c>
    </row>
    <row r="17" spans="1:12" x14ac:dyDescent="0.25">
      <c r="A17" s="387" t="s">
        <v>77</v>
      </c>
      <c r="B17" s="386"/>
      <c r="C17" s="386" t="s">
        <v>142</v>
      </c>
      <c r="D17" s="386"/>
      <c r="E17" s="388" t="s">
        <v>413</v>
      </c>
      <c r="F17" s="389"/>
      <c r="G17" s="246" t="s">
        <v>26</v>
      </c>
      <c r="H17" s="60">
        <v>1028500</v>
      </c>
      <c r="I17" s="56"/>
      <c r="J17" s="57"/>
      <c r="K17" s="57"/>
      <c r="L17" s="58">
        <f t="shared" si="0"/>
        <v>1028500</v>
      </c>
    </row>
    <row r="18" spans="1:12" x14ac:dyDescent="0.25">
      <c r="A18" s="387" t="s">
        <v>77</v>
      </c>
      <c r="B18" s="386"/>
      <c r="C18" s="384">
        <v>2</v>
      </c>
      <c r="D18" s="384"/>
      <c r="E18" s="388" t="s">
        <v>472</v>
      </c>
      <c r="F18" s="389"/>
      <c r="G18" s="246" t="s">
        <v>26</v>
      </c>
      <c r="H18" s="55">
        <v>672000</v>
      </c>
      <c r="I18" s="56"/>
      <c r="J18" s="57"/>
      <c r="K18" s="57"/>
      <c r="L18" s="58">
        <f t="shared" si="0"/>
        <v>672000</v>
      </c>
    </row>
    <row r="19" spans="1:12" x14ac:dyDescent="0.25">
      <c r="A19" s="387" t="s">
        <v>77</v>
      </c>
      <c r="B19" s="386"/>
      <c r="C19" s="384">
        <v>3</v>
      </c>
      <c r="D19" s="384"/>
      <c r="E19" s="388" t="s">
        <v>424</v>
      </c>
      <c r="F19" s="389"/>
      <c r="G19" s="246" t="s">
        <v>26</v>
      </c>
      <c r="H19" s="55">
        <v>696400</v>
      </c>
      <c r="I19" s="56"/>
      <c r="J19" s="57"/>
      <c r="K19" s="57"/>
      <c r="L19" s="58">
        <f t="shared" si="0"/>
        <v>696400</v>
      </c>
    </row>
    <row r="20" spans="1:12" x14ac:dyDescent="0.25">
      <c r="A20" s="387" t="s">
        <v>77</v>
      </c>
      <c r="B20" s="386"/>
      <c r="C20" s="379" t="s">
        <v>217</v>
      </c>
      <c r="D20" s="380"/>
      <c r="E20" s="392" t="s">
        <v>248</v>
      </c>
      <c r="F20" s="393"/>
      <c r="G20" s="246" t="s">
        <v>26</v>
      </c>
      <c r="H20" s="55">
        <v>787625</v>
      </c>
      <c r="I20" s="56"/>
      <c r="J20" s="57"/>
      <c r="K20" s="57"/>
      <c r="L20" s="58">
        <f t="shared" si="0"/>
        <v>787625</v>
      </c>
    </row>
    <row r="21" spans="1:12" x14ac:dyDescent="0.25">
      <c r="A21" s="385">
        <v>1</v>
      </c>
      <c r="B21" s="384"/>
      <c r="C21" s="386" t="s">
        <v>188</v>
      </c>
      <c r="D21" s="386"/>
      <c r="E21" s="383" t="s">
        <v>389</v>
      </c>
      <c r="F21" s="383"/>
      <c r="G21" s="59" t="s">
        <v>26</v>
      </c>
      <c r="H21" s="55">
        <v>624942</v>
      </c>
      <c r="I21" s="56"/>
      <c r="J21" s="57"/>
      <c r="K21" s="57"/>
      <c r="L21" s="58">
        <f t="shared" si="0"/>
        <v>624942</v>
      </c>
    </row>
    <row r="22" spans="1:12" x14ac:dyDescent="0.25">
      <c r="A22" s="375">
        <v>1</v>
      </c>
      <c r="B22" s="376"/>
      <c r="C22" s="322">
        <v>4</v>
      </c>
      <c r="D22" s="324"/>
      <c r="E22" s="383" t="s">
        <v>393</v>
      </c>
      <c r="F22" s="383"/>
      <c r="G22" s="59" t="s">
        <v>26</v>
      </c>
      <c r="H22" s="55">
        <v>965900</v>
      </c>
      <c r="I22" s="56"/>
      <c r="J22" s="57"/>
      <c r="K22" s="57"/>
      <c r="L22" s="58">
        <f t="shared" si="0"/>
        <v>965900</v>
      </c>
    </row>
    <row r="23" spans="1:12" x14ac:dyDescent="0.25">
      <c r="A23" s="375">
        <v>2</v>
      </c>
      <c r="B23" s="376"/>
      <c r="C23" s="384">
        <v>3.4</v>
      </c>
      <c r="D23" s="384"/>
      <c r="E23" s="383" t="s">
        <v>489</v>
      </c>
      <c r="F23" s="383"/>
      <c r="G23" s="59" t="s">
        <v>240</v>
      </c>
      <c r="H23" s="55">
        <v>1502600</v>
      </c>
      <c r="I23" s="56"/>
      <c r="J23" s="57"/>
      <c r="K23" s="57"/>
      <c r="L23" s="58">
        <f t="shared" si="0"/>
        <v>1502600</v>
      </c>
    </row>
    <row r="24" spans="1:12" x14ac:dyDescent="0.25">
      <c r="A24" s="375">
        <v>1</v>
      </c>
      <c r="B24" s="376"/>
      <c r="C24" s="379" t="s">
        <v>142</v>
      </c>
      <c r="D24" s="380"/>
      <c r="E24" s="392" t="s">
        <v>423</v>
      </c>
      <c r="F24" s="393"/>
      <c r="G24" s="59" t="s">
        <v>240</v>
      </c>
      <c r="H24" s="55">
        <v>1360600</v>
      </c>
      <c r="I24" s="56"/>
      <c r="J24" s="57"/>
      <c r="K24" s="57"/>
      <c r="L24" s="58">
        <f t="shared" si="0"/>
        <v>1360600</v>
      </c>
    </row>
    <row r="25" spans="1:12" x14ac:dyDescent="0.25">
      <c r="A25" s="375">
        <v>1</v>
      </c>
      <c r="B25" s="376"/>
      <c r="C25" s="379" t="s">
        <v>273</v>
      </c>
      <c r="D25" s="380"/>
      <c r="E25" s="381" t="s">
        <v>182</v>
      </c>
      <c r="F25" s="382"/>
      <c r="G25" s="59" t="s">
        <v>26</v>
      </c>
      <c r="H25" s="55">
        <v>421445</v>
      </c>
      <c r="I25" s="56"/>
      <c r="J25" s="57"/>
      <c r="K25" s="57"/>
      <c r="L25" s="58">
        <f t="shared" si="0"/>
        <v>421445</v>
      </c>
    </row>
    <row r="26" spans="1:12" x14ac:dyDescent="0.25">
      <c r="A26" s="375">
        <v>1</v>
      </c>
      <c r="B26" s="376"/>
      <c r="C26" s="379" t="s">
        <v>80</v>
      </c>
      <c r="D26" s="380"/>
      <c r="E26" s="381" t="s">
        <v>473</v>
      </c>
      <c r="F26" s="382"/>
      <c r="G26" s="59" t="s">
        <v>26</v>
      </c>
      <c r="H26" s="55">
        <v>450400</v>
      </c>
      <c r="I26" s="56"/>
      <c r="J26" s="57"/>
      <c r="K26" s="57"/>
      <c r="L26" s="58">
        <f t="shared" si="0"/>
        <v>450400</v>
      </c>
    </row>
    <row r="27" spans="1:12" x14ac:dyDescent="0.25">
      <c r="A27" s="375">
        <v>1</v>
      </c>
      <c r="B27" s="376"/>
      <c r="C27" s="322">
        <v>10</v>
      </c>
      <c r="D27" s="324"/>
      <c r="E27" s="381" t="s">
        <v>180</v>
      </c>
      <c r="F27" s="382"/>
      <c r="G27" s="246" t="s">
        <v>26</v>
      </c>
      <c r="H27" s="60">
        <v>600000</v>
      </c>
      <c r="I27" s="56"/>
      <c r="J27" s="57"/>
      <c r="K27" s="57"/>
      <c r="L27" s="58">
        <f t="shared" si="0"/>
        <v>600000</v>
      </c>
    </row>
    <row r="28" spans="1:12" x14ac:dyDescent="0.25">
      <c r="A28" s="375">
        <v>1</v>
      </c>
      <c r="B28" s="376"/>
      <c r="C28" s="322">
        <v>6</v>
      </c>
      <c r="D28" s="324"/>
      <c r="E28" s="383" t="s">
        <v>305</v>
      </c>
      <c r="F28" s="383"/>
      <c r="G28" s="246" t="s">
        <v>26</v>
      </c>
      <c r="H28" s="60">
        <v>1526600</v>
      </c>
      <c r="I28" s="56"/>
      <c r="J28" s="57"/>
      <c r="K28" s="57"/>
      <c r="L28" s="58">
        <f t="shared" si="0"/>
        <v>1526600</v>
      </c>
    </row>
    <row r="29" spans="1:12" x14ac:dyDescent="0.25">
      <c r="A29" s="375">
        <v>1</v>
      </c>
      <c r="B29" s="376"/>
      <c r="C29" s="379" t="s">
        <v>188</v>
      </c>
      <c r="D29" s="380"/>
      <c r="E29" s="377" t="s">
        <v>386</v>
      </c>
      <c r="F29" s="378"/>
      <c r="G29" s="246" t="s">
        <v>26</v>
      </c>
      <c r="H29" s="60">
        <v>1421200</v>
      </c>
      <c r="I29" s="56"/>
      <c r="J29" s="57"/>
      <c r="K29" s="57"/>
      <c r="L29" s="58">
        <f t="shared" si="0"/>
        <v>1421200</v>
      </c>
    </row>
    <row r="30" spans="1:12" x14ac:dyDescent="0.25">
      <c r="A30" s="375">
        <v>1</v>
      </c>
      <c r="B30" s="376"/>
      <c r="C30" s="411" t="s">
        <v>158</v>
      </c>
      <c r="D30" s="412"/>
      <c r="E30" s="381" t="s">
        <v>388</v>
      </c>
      <c r="F30" s="382"/>
      <c r="G30" s="246" t="s">
        <v>26</v>
      </c>
      <c r="H30" s="60">
        <v>619100</v>
      </c>
      <c r="I30" s="56"/>
      <c r="J30" s="57"/>
      <c r="K30" s="57"/>
      <c r="L30" s="58">
        <f t="shared" si="0"/>
        <v>619100</v>
      </c>
    </row>
    <row r="31" spans="1:12" x14ac:dyDescent="0.25">
      <c r="A31" s="375">
        <v>1</v>
      </c>
      <c r="B31" s="376"/>
      <c r="C31" s="375">
        <v>11</v>
      </c>
      <c r="D31" s="376"/>
      <c r="E31" s="381" t="s">
        <v>86</v>
      </c>
      <c r="F31" s="382"/>
      <c r="G31" s="246" t="s">
        <v>26</v>
      </c>
      <c r="H31" s="60">
        <v>612254</v>
      </c>
      <c r="I31" s="56"/>
      <c r="J31" s="57"/>
      <c r="K31" s="57"/>
      <c r="L31" s="58">
        <f t="shared" si="0"/>
        <v>612254</v>
      </c>
    </row>
    <row r="32" spans="1:12" x14ac:dyDescent="0.25">
      <c r="A32" s="375">
        <v>1</v>
      </c>
      <c r="B32" s="376"/>
      <c r="C32" s="375">
        <v>5</v>
      </c>
      <c r="D32" s="376"/>
      <c r="E32" s="381" t="s">
        <v>382</v>
      </c>
      <c r="F32" s="382"/>
      <c r="G32" s="246" t="s">
        <v>26</v>
      </c>
      <c r="H32" s="60">
        <v>1285021</v>
      </c>
      <c r="I32" s="56"/>
      <c r="J32" s="57"/>
      <c r="K32" s="57"/>
      <c r="L32" s="58">
        <f t="shared" si="0"/>
        <v>1285021</v>
      </c>
    </row>
    <row r="33" spans="1:12" x14ac:dyDescent="0.25">
      <c r="A33" s="375">
        <v>1</v>
      </c>
      <c r="B33" s="376"/>
      <c r="C33" s="411" t="s">
        <v>206</v>
      </c>
      <c r="D33" s="412"/>
      <c r="E33" s="381" t="s">
        <v>382</v>
      </c>
      <c r="F33" s="382"/>
      <c r="G33" s="246" t="s">
        <v>26</v>
      </c>
      <c r="H33" s="60">
        <v>1329996</v>
      </c>
      <c r="I33" s="56"/>
      <c r="J33" s="57"/>
      <c r="K33" s="57"/>
      <c r="L33" s="58">
        <f t="shared" si="0"/>
        <v>1329996</v>
      </c>
    </row>
    <row r="34" spans="1:12" x14ac:dyDescent="0.25">
      <c r="A34" s="375">
        <v>1</v>
      </c>
      <c r="B34" s="376"/>
      <c r="C34" s="411" t="s">
        <v>140</v>
      </c>
      <c r="D34" s="412"/>
      <c r="E34" s="381" t="s">
        <v>136</v>
      </c>
      <c r="F34" s="382"/>
      <c r="G34" s="246" t="s">
        <v>26</v>
      </c>
      <c r="H34" s="60">
        <v>656200</v>
      </c>
      <c r="I34" s="56"/>
      <c r="J34" s="57"/>
      <c r="K34" s="57"/>
      <c r="L34" s="58">
        <f t="shared" si="0"/>
        <v>656200</v>
      </c>
    </row>
    <row r="35" spans="1:12" x14ac:dyDescent="0.25">
      <c r="A35" s="375">
        <v>1</v>
      </c>
      <c r="B35" s="376"/>
      <c r="C35" s="375">
        <v>4</v>
      </c>
      <c r="D35" s="376"/>
      <c r="E35" s="381" t="s">
        <v>392</v>
      </c>
      <c r="F35" s="382"/>
      <c r="G35" s="246" t="s">
        <v>26</v>
      </c>
      <c r="H35" s="60">
        <v>588800</v>
      </c>
      <c r="I35" s="56"/>
      <c r="J35" s="57"/>
      <c r="K35" s="57"/>
      <c r="L35" s="58">
        <f t="shared" si="0"/>
        <v>588800</v>
      </c>
    </row>
    <row r="36" spans="1:12" x14ac:dyDescent="0.25">
      <c r="A36" s="375">
        <v>1</v>
      </c>
      <c r="B36" s="376"/>
      <c r="C36" s="411" t="s">
        <v>142</v>
      </c>
      <c r="D36" s="412"/>
      <c r="E36" s="381" t="s">
        <v>475</v>
      </c>
      <c r="F36" s="382"/>
      <c r="G36" s="246" t="s">
        <v>240</v>
      </c>
      <c r="H36" s="60">
        <v>649000</v>
      </c>
      <c r="I36" s="56"/>
      <c r="J36" s="57"/>
      <c r="K36" s="57"/>
      <c r="L36" s="58">
        <f t="shared" si="0"/>
        <v>649000</v>
      </c>
    </row>
    <row r="37" spans="1:12" x14ac:dyDescent="0.25">
      <c r="A37" s="375">
        <v>1</v>
      </c>
      <c r="B37" s="376"/>
      <c r="C37" s="379" t="s">
        <v>158</v>
      </c>
      <c r="D37" s="380"/>
      <c r="E37" s="381" t="s">
        <v>358</v>
      </c>
      <c r="F37" s="382"/>
      <c r="G37" s="246" t="s">
        <v>26</v>
      </c>
      <c r="H37" s="60">
        <v>1379900</v>
      </c>
      <c r="I37" s="56"/>
      <c r="J37" s="57"/>
      <c r="K37" s="57"/>
      <c r="L37" s="58">
        <f t="shared" si="0"/>
        <v>1379900</v>
      </c>
    </row>
    <row r="38" spans="1:12" x14ac:dyDescent="0.25">
      <c r="A38" s="375">
        <v>1</v>
      </c>
      <c r="B38" s="376"/>
      <c r="C38" s="379" t="s">
        <v>77</v>
      </c>
      <c r="D38" s="380"/>
      <c r="E38" s="381" t="s">
        <v>490</v>
      </c>
      <c r="F38" s="382"/>
      <c r="G38" s="246" t="s">
        <v>26</v>
      </c>
      <c r="H38" s="60">
        <v>407700</v>
      </c>
      <c r="I38" s="56"/>
      <c r="J38" s="57"/>
      <c r="K38" s="57"/>
      <c r="L38" s="58">
        <f t="shared" si="0"/>
        <v>407700</v>
      </c>
    </row>
    <row r="39" spans="1:12" x14ac:dyDescent="0.25">
      <c r="A39" s="375">
        <v>1</v>
      </c>
      <c r="B39" s="376"/>
      <c r="C39" s="322">
        <v>13</v>
      </c>
      <c r="D39" s="324"/>
      <c r="E39" s="392" t="s">
        <v>106</v>
      </c>
      <c r="F39" s="393"/>
      <c r="G39" s="246" t="s">
        <v>26</v>
      </c>
      <c r="H39" s="60">
        <v>418100</v>
      </c>
      <c r="I39" s="56"/>
      <c r="J39" s="57"/>
      <c r="K39" s="57"/>
      <c r="L39" s="58">
        <f t="shared" si="0"/>
        <v>418100</v>
      </c>
    </row>
    <row r="40" spans="1:12" x14ac:dyDescent="0.25">
      <c r="A40" s="375">
        <v>1</v>
      </c>
      <c r="B40" s="376"/>
      <c r="C40" s="322">
        <v>1</v>
      </c>
      <c r="D40" s="324"/>
      <c r="E40" s="392" t="s">
        <v>491</v>
      </c>
      <c r="F40" s="393"/>
      <c r="G40" s="246" t="s">
        <v>26</v>
      </c>
      <c r="H40" s="60">
        <v>614700</v>
      </c>
      <c r="I40" s="56"/>
      <c r="J40" s="57"/>
      <c r="K40" s="57"/>
      <c r="L40" s="58">
        <f t="shared" si="0"/>
        <v>614700</v>
      </c>
    </row>
    <row r="41" spans="1:12" x14ac:dyDescent="0.25">
      <c r="A41" s="375">
        <v>1</v>
      </c>
      <c r="B41" s="376"/>
      <c r="C41" s="322">
        <v>4</v>
      </c>
      <c r="D41" s="324"/>
      <c r="E41" s="392" t="s">
        <v>402</v>
      </c>
      <c r="F41" s="393"/>
      <c r="G41" s="246" t="s">
        <v>26</v>
      </c>
      <c r="H41" s="60">
        <v>1091100</v>
      </c>
      <c r="I41" s="56"/>
      <c r="J41" s="57"/>
      <c r="K41" s="57"/>
      <c r="L41" s="58">
        <f t="shared" si="0"/>
        <v>1091100</v>
      </c>
    </row>
    <row r="42" spans="1:12" x14ac:dyDescent="0.25">
      <c r="A42" s="375">
        <v>1</v>
      </c>
      <c r="B42" s="376"/>
      <c r="C42" s="322">
        <v>1</v>
      </c>
      <c r="D42" s="324"/>
      <c r="E42" s="392" t="s">
        <v>492</v>
      </c>
      <c r="F42" s="393"/>
      <c r="G42" s="246" t="s">
        <v>26</v>
      </c>
      <c r="H42" s="60">
        <v>1617200</v>
      </c>
      <c r="I42" s="56"/>
      <c r="J42" s="57"/>
      <c r="K42" s="57"/>
      <c r="L42" s="58">
        <f t="shared" si="0"/>
        <v>1617200</v>
      </c>
    </row>
    <row r="43" spans="1:12" x14ac:dyDescent="0.25">
      <c r="A43" s="375">
        <v>1</v>
      </c>
      <c r="B43" s="376"/>
      <c r="C43" s="322">
        <v>5</v>
      </c>
      <c r="D43" s="324"/>
      <c r="E43" s="392" t="s">
        <v>310</v>
      </c>
      <c r="F43" s="393"/>
      <c r="G43" s="246" t="s">
        <v>26</v>
      </c>
      <c r="H43" s="60">
        <v>441300</v>
      </c>
      <c r="I43" s="56"/>
      <c r="J43" s="57"/>
      <c r="K43" s="57"/>
      <c r="L43" s="58">
        <f t="shared" si="0"/>
        <v>441300</v>
      </c>
    </row>
    <row r="44" spans="1:12" x14ac:dyDescent="0.25">
      <c r="A44" s="375">
        <v>1</v>
      </c>
      <c r="B44" s="376"/>
      <c r="C44" s="322">
        <v>8</v>
      </c>
      <c r="D44" s="324"/>
      <c r="E44" s="392" t="s">
        <v>222</v>
      </c>
      <c r="F44" s="393"/>
      <c r="G44" s="246" t="s">
        <v>26</v>
      </c>
      <c r="H44" s="60">
        <v>669933</v>
      </c>
      <c r="I44" s="56"/>
      <c r="J44" s="57"/>
      <c r="K44" s="57"/>
      <c r="L44" s="58">
        <f t="shared" si="0"/>
        <v>669933</v>
      </c>
    </row>
    <row r="45" spans="1:12" x14ac:dyDescent="0.25">
      <c r="A45" s="375">
        <v>1</v>
      </c>
      <c r="B45" s="376"/>
      <c r="C45" s="322">
        <v>12</v>
      </c>
      <c r="D45" s="324"/>
      <c r="E45" s="392" t="s">
        <v>134</v>
      </c>
      <c r="F45" s="393"/>
      <c r="G45" s="246" t="s">
        <v>26</v>
      </c>
      <c r="H45" s="60">
        <v>320242</v>
      </c>
      <c r="I45" s="56"/>
      <c r="J45" s="57"/>
      <c r="K45" s="57"/>
      <c r="L45" s="58">
        <f t="shared" si="0"/>
        <v>320242</v>
      </c>
    </row>
    <row r="46" spans="1:12" x14ac:dyDescent="0.25">
      <c r="A46" s="375">
        <v>1</v>
      </c>
      <c r="B46" s="376"/>
      <c r="C46" s="322">
        <v>2</v>
      </c>
      <c r="D46" s="324"/>
      <c r="E46" s="392" t="s">
        <v>476</v>
      </c>
      <c r="F46" s="393"/>
      <c r="G46" s="257" t="s">
        <v>26</v>
      </c>
      <c r="H46" s="60">
        <v>407700</v>
      </c>
      <c r="I46" s="56"/>
      <c r="J46" s="57"/>
      <c r="K46" s="57"/>
      <c r="L46" s="58">
        <f t="shared" si="0"/>
        <v>407700</v>
      </c>
    </row>
    <row r="47" spans="1:12" x14ac:dyDescent="0.25">
      <c r="A47" s="375">
        <v>1</v>
      </c>
      <c r="B47" s="376"/>
      <c r="C47" s="322">
        <v>1</v>
      </c>
      <c r="D47" s="324"/>
      <c r="E47" s="392" t="s">
        <v>493</v>
      </c>
      <c r="F47" s="393"/>
      <c r="G47" s="257" t="s">
        <v>26</v>
      </c>
      <c r="H47" s="60">
        <v>645700</v>
      </c>
      <c r="I47" s="56"/>
      <c r="J47" s="57"/>
      <c r="K47" s="57"/>
      <c r="L47" s="58">
        <f t="shared" si="0"/>
        <v>645700</v>
      </c>
    </row>
    <row r="48" spans="1:12" x14ac:dyDescent="0.25">
      <c r="A48" s="375">
        <v>1</v>
      </c>
      <c r="B48" s="376"/>
      <c r="C48" s="322">
        <v>2</v>
      </c>
      <c r="D48" s="324"/>
      <c r="E48" s="392" t="s">
        <v>477</v>
      </c>
      <c r="F48" s="393"/>
      <c r="G48" s="257" t="s">
        <v>26</v>
      </c>
      <c r="H48" s="60">
        <v>614700</v>
      </c>
      <c r="I48" s="56"/>
      <c r="J48" s="57"/>
      <c r="K48" s="57"/>
      <c r="L48" s="58">
        <f t="shared" si="0"/>
        <v>614700</v>
      </c>
    </row>
    <row r="49" spans="1:13" x14ac:dyDescent="0.25">
      <c r="A49" s="375">
        <v>1</v>
      </c>
      <c r="B49" s="376"/>
      <c r="C49" s="322">
        <v>1</v>
      </c>
      <c r="D49" s="324"/>
      <c r="E49" s="392" t="s">
        <v>494</v>
      </c>
      <c r="F49" s="393"/>
      <c r="G49" s="246" t="s">
        <v>26</v>
      </c>
      <c r="H49" s="60">
        <v>614700</v>
      </c>
      <c r="I49" s="56"/>
      <c r="J49" s="57"/>
      <c r="K49" s="57"/>
      <c r="L49" s="58">
        <f t="shared" si="0"/>
        <v>614700</v>
      </c>
    </row>
    <row r="50" spans="1:13" x14ac:dyDescent="0.25">
      <c r="A50" s="322"/>
      <c r="B50" s="324"/>
      <c r="C50" s="61" t="s">
        <v>45</v>
      </c>
      <c r="D50" s="62"/>
      <c r="E50" s="62"/>
      <c r="F50" s="62"/>
      <c r="G50" s="62"/>
      <c r="H50" s="63">
        <f>SUM(H15:H49)</f>
        <v>28888153</v>
      </c>
      <c r="I50" s="334"/>
      <c r="J50" s="335"/>
      <c r="K50" s="336"/>
      <c r="L50" s="63">
        <f>SUM(L15:L49)</f>
        <v>28888153</v>
      </c>
    </row>
    <row r="51" spans="1:13" x14ac:dyDescent="0.25">
      <c r="A51" s="64"/>
      <c r="B51" s="38"/>
      <c r="C51" s="29"/>
      <c r="D51" s="30"/>
      <c r="E51" s="30"/>
      <c r="F51" s="30"/>
      <c r="G51" s="30"/>
      <c r="H51" s="31"/>
      <c r="I51" s="31"/>
      <c r="J51" s="31"/>
      <c r="K51" s="31"/>
      <c r="L51" s="32"/>
    </row>
    <row r="52" spans="1:13" x14ac:dyDescent="0.25">
      <c r="A52" s="48" t="s">
        <v>46</v>
      </c>
      <c r="B52" s="38"/>
      <c r="C52" s="29"/>
      <c r="D52" s="30"/>
      <c r="E52" s="30"/>
      <c r="F52" s="30"/>
      <c r="G52" s="30"/>
      <c r="H52" s="31"/>
      <c r="I52" s="31"/>
      <c r="J52" s="31"/>
      <c r="K52" s="31"/>
      <c r="L52" s="32"/>
    </row>
    <row r="53" spans="1:13" x14ac:dyDescent="0.25">
      <c r="A53" s="48"/>
      <c r="B53" s="30"/>
      <c r="C53" s="30"/>
      <c r="D53" s="30"/>
      <c r="E53" s="30"/>
      <c r="F53" s="30"/>
      <c r="G53" s="30"/>
      <c r="H53" s="31"/>
      <c r="I53" s="31"/>
      <c r="J53" s="31"/>
      <c r="K53" s="31"/>
      <c r="L53" s="32"/>
    </row>
    <row r="54" spans="1:13" x14ac:dyDescent="0.25">
      <c r="A54" s="357" t="s">
        <v>47</v>
      </c>
      <c r="B54" s="358"/>
      <c r="C54" s="363" t="s">
        <v>48</v>
      </c>
      <c r="D54" s="364"/>
      <c r="E54" s="357" t="s">
        <v>49</v>
      </c>
      <c r="F54" s="369"/>
      <c r="G54" s="369"/>
      <c r="H54" s="369"/>
      <c r="I54" s="369"/>
      <c r="J54" s="369"/>
      <c r="K54" s="358"/>
      <c r="L54" s="372" t="s">
        <v>50</v>
      </c>
    </row>
    <row r="55" spans="1:13" x14ac:dyDescent="0.25">
      <c r="A55" s="359"/>
      <c r="B55" s="360"/>
      <c r="C55" s="365"/>
      <c r="D55" s="366"/>
      <c r="E55" s="359"/>
      <c r="F55" s="370"/>
      <c r="G55" s="370"/>
      <c r="H55" s="370"/>
      <c r="I55" s="370"/>
      <c r="J55" s="370"/>
      <c r="K55" s="360"/>
      <c r="L55" s="373"/>
    </row>
    <row r="56" spans="1:13" x14ac:dyDescent="0.25">
      <c r="A56" s="361"/>
      <c r="B56" s="362"/>
      <c r="C56" s="367"/>
      <c r="D56" s="368"/>
      <c r="E56" s="361"/>
      <c r="F56" s="371"/>
      <c r="G56" s="371"/>
      <c r="H56" s="371"/>
      <c r="I56" s="371"/>
      <c r="J56" s="371"/>
      <c r="K56" s="362"/>
      <c r="L56" s="374"/>
    </row>
    <row r="57" spans="1:13" x14ac:dyDescent="0.25">
      <c r="A57" s="352">
        <v>46169</v>
      </c>
      <c r="B57" s="353"/>
      <c r="C57" s="322" t="s">
        <v>100</v>
      </c>
      <c r="D57" s="324"/>
      <c r="E57" s="354" t="s">
        <v>244</v>
      </c>
      <c r="F57" s="355"/>
      <c r="G57" s="355"/>
      <c r="H57" s="355"/>
      <c r="I57" s="355"/>
      <c r="J57" s="355"/>
      <c r="K57" s="356"/>
      <c r="L57" s="55">
        <v>28888153</v>
      </c>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x14ac:dyDescent="0.25">
      <c r="A60" s="352"/>
      <c r="B60" s="353"/>
      <c r="C60" s="322"/>
      <c r="D60" s="324"/>
      <c r="E60" s="354"/>
      <c r="F60" s="355"/>
      <c r="G60" s="355"/>
      <c r="H60" s="355"/>
      <c r="I60" s="355"/>
      <c r="J60" s="355"/>
      <c r="K60" s="356"/>
      <c r="L60" s="55"/>
    </row>
    <row r="61" spans="1:13" x14ac:dyDescent="0.25">
      <c r="A61" s="352"/>
      <c r="B61" s="353"/>
      <c r="C61" s="322"/>
      <c r="D61" s="324"/>
      <c r="E61" s="354"/>
      <c r="F61" s="355"/>
      <c r="G61" s="355"/>
      <c r="H61" s="355"/>
      <c r="I61" s="355"/>
      <c r="J61" s="355"/>
      <c r="K61" s="356"/>
      <c r="L61" s="55"/>
    </row>
    <row r="62" spans="1:13" x14ac:dyDescent="0.25">
      <c r="A62" s="352"/>
      <c r="B62" s="353"/>
      <c r="C62" s="322"/>
      <c r="D62" s="324"/>
      <c r="E62" s="354"/>
      <c r="F62" s="355"/>
      <c r="G62" s="355"/>
      <c r="H62" s="355"/>
      <c r="I62" s="355"/>
      <c r="J62" s="355"/>
      <c r="K62" s="356"/>
      <c r="L62" s="55"/>
    </row>
    <row r="63" spans="1:13" s="33" customFormat="1" x14ac:dyDescent="0.25">
      <c r="A63" s="352"/>
      <c r="B63" s="353"/>
      <c r="C63" s="322"/>
      <c r="D63" s="324"/>
      <c r="E63" s="354"/>
      <c r="F63" s="355"/>
      <c r="G63" s="355"/>
      <c r="H63" s="355"/>
      <c r="I63" s="355"/>
      <c r="J63" s="355"/>
      <c r="K63" s="356"/>
      <c r="L63" s="55"/>
    </row>
    <row r="64" spans="1:13" x14ac:dyDescent="0.25">
      <c r="A64" s="352"/>
      <c r="B64" s="353"/>
      <c r="C64" s="322"/>
      <c r="D64" s="324"/>
      <c r="E64" s="354"/>
      <c r="F64" s="355"/>
      <c r="G64" s="355"/>
      <c r="H64" s="355"/>
      <c r="I64" s="355"/>
      <c r="J64" s="355"/>
      <c r="K64" s="356"/>
      <c r="L64" s="55"/>
      <c r="M64" s="33"/>
    </row>
    <row r="65" spans="1:13" x14ac:dyDescent="0.25">
      <c r="A65" s="334" t="s">
        <v>51</v>
      </c>
      <c r="B65" s="335"/>
      <c r="C65" s="335"/>
      <c r="D65" s="335"/>
      <c r="E65" s="335"/>
      <c r="F65" s="335"/>
      <c r="G65" s="335"/>
      <c r="H65" s="335"/>
      <c r="I65" s="335"/>
      <c r="J65" s="335"/>
      <c r="K65" s="336"/>
      <c r="L65" s="63">
        <f>SUM(L57:L64)</f>
        <v>28888153</v>
      </c>
    </row>
    <row r="66" spans="1:13" x14ac:dyDescent="0.25">
      <c r="A66" s="65"/>
      <c r="B66" s="66"/>
      <c r="C66" s="66"/>
      <c r="D66" s="66"/>
      <c r="E66" s="66"/>
      <c r="F66" s="66"/>
      <c r="G66" s="66"/>
      <c r="H66" s="31"/>
      <c r="I66" s="31"/>
      <c r="J66" s="31"/>
      <c r="K66" s="31"/>
      <c r="L66" s="31"/>
    </row>
    <row r="67" spans="1:13" x14ac:dyDescent="0.25">
      <c r="A67" s="48" t="s">
        <v>52</v>
      </c>
      <c r="B67" s="30"/>
      <c r="C67" s="30"/>
      <c r="D67" s="30"/>
      <c r="E67" s="30"/>
      <c r="F67" s="30"/>
      <c r="G67" s="30"/>
      <c r="H67" s="31"/>
      <c r="I67" s="31"/>
      <c r="J67" s="31"/>
      <c r="K67" s="31"/>
      <c r="L67" s="31"/>
    </row>
    <row r="68" spans="1:13" x14ac:dyDescent="0.25">
      <c r="A68" s="44"/>
      <c r="B68" s="45"/>
      <c r="C68" s="45"/>
      <c r="D68" s="45"/>
      <c r="E68" s="45"/>
      <c r="F68" s="45"/>
      <c r="G68" s="45"/>
      <c r="H68" s="31"/>
      <c r="I68" s="31"/>
      <c r="J68" s="46"/>
      <c r="K68" s="46"/>
      <c r="L68" s="31"/>
    </row>
    <row r="69" spans="1:13" x14ac:dyDescent="0.25">
      <c r="A69" s="337" t="s">
        <v>53</v>
      </c>
      <c r="B69" s="338"/>
      <c r="C69" s="337" t="s">
        <v>54</v>
      </c>
      <c r="D69" s="338"/>
      <c r="E69" s="243" t="s">
        <v>55</v>
      </c>
      <c r="F69" s="68" t="s">
        <v>37</v>
      </c>
      <c r="G69" s="339"/>
      <c r="H69" s="340"/>
      <c r="I69" s="340"/>
      <c r="J69" s="340"/>
      <c r="K69" s="341"/>
      <c r="L69" s="348" t="s">
        <v>56</v>
      </c>
    </row>
    <row r="70" spans="1:13" x14ac:dyDescent="0.25">
      <c r="A70" s="316"/>
      <c r="B70" s="317"/>
      <c r="C70" s="350" t="s">
        <v>57</v>
      </c>
      <c r="D70" s="351"/>
      <c r="E70" s="69"/>
      <c r="F70" s="44"/>
      <c r="G70" s="342"/>
      <c r="H70" s="343"/>
      <c r="I70" s="343"/>
      <c r="J70" s="343"/>
      <c r="K70" s="344"/>
      <c r="L70" s="349"/>
    </row>
    <row r="71" spans="1:13" x14ac:dyDescent="0.25">
      <c r="A71" s="310"/>
      <c r="B71" s="312"/>
      <c r="C71" s="310"/>
      <c r="D71" s="312"/>
      <c r="E71" s="70"/>
      <c r="F71" s="245"/>
      <c r="G71" s="342"/>
      <c r="H71" s="343"/>
      <c r="I71" s="343"/>
      <c r="J71" s="343"/>
      <c r="K71" s="344"/>
      <c r="L71" s="55"/>
    </row>
    <row r="72" spans="1:13" x14ac:dyDescent="0.25">
      <c r="A72" s="310"/>
      <c r="B72" s="312"/>
      <c r="C72" s="310"/>
      <c r="D72" s="312"/>
      <c r="E72" s="70"/>
      <c r="F72" s="64"/>
      <c r="G72" s="345"/>
      <c r="H72" s="346"/>
      <c r="I72" s="346"/>
      <c r="J72" s="346"/>
      <c r="K72" s="347"/>
      <c r="L72" s="72"/>
    </row>
    <row r="73" spans="1:13" x14ac:dyDescent="0.25">
      <c r="A73" s="322" t="s">
        <v>41</v>
      </c>
      <c r="B73" s="323"/>
      <c r="C73" s="323"/>
      <c r="D73" s="323"/>
      <c r="E73" s="323"/>
      <c r="F73" s="323"/>
      <c r="G73" s="323"/>
      <c r="H73" s="323"/>
      <c r="I73" s="323"/>
      <c r="J73" s="323"/>
      <c r="K73" s="324"/>
      <c r="L73" s="73">
        <f>SUM(L71:L72)</f>
        <v>0</v>
      </c>
    </row>
    <row r="74" spans="1:13" x14ac:dyDescent="0.25">
      <c r="A74" s="325"/>
      <c r="B74" s="326"/>
      <c r="C74" s="326"/>
      <c r="D74" s="326"/>
      <c r="E74" s="326"/>
      <c r="F74" s="326"/>
      <c r="G74" s="326"/>
      <c r="H74" s="326"/>
      <c r="I74" s="326"/>
      <c r="J74" s="326"/>
      <c r="K74" s="326"/>
      <c r="L74" s="326"/>
    </row>
    <row r="75" spans="1:13" x14ac:dyDescent="0.25">
      <c r="A75" s="327" t="s">
        <v>58</v>
      </c>
      <c r="B75" s="328"/>
      <c r="C75" s="328"/>
      <c r="D75" s="328"/>
      <c r="E75" s="328"/>
      <c r="F75" s="328"/>
      <c r="G75" s="328"/>
      <c r="H75" s="328"/>
      <c r="I75" s="328"/>
      <c r="J75" s="329"/>
      <c r="K75" s="330">
        <f>K9+L50-L65-L73</f>
        <v>0</v>
      </c>
      <c r="L75" s="330"/>
    </row>
    <row r="76" spans="1:13" x14ac:dyDescent="0.25">
      <c r="A76" s="331"/>
      <c r="B76" s="332"/>
      <c r="C76" s="332"/>
      <c r="D76" s="332"/>
      <c r="E76" s="332"/>
      <c r="F76" s="332"/>
      <c r="G76" s="332"/>
      <c r="H76" s="332"/>
      <c r="I76" s="332"/>
      <c r="J76" s="332"/>
      <c r="K76" s="332"/>
      <c r="L76" s="333"/>
    </row>
    <row r="77" spans="1:13" x14ac:dyDescent="0.25">
      <c r="A77" s="305" t="s">
        <v>59</v>
      </c>
      <c r="B77" s="305"/>
      <c r="C77" s="305"/>
      <c r="D77" s="305"/>
      <c r="E77" s="305"/>
      <c r="F77" s="305" t="s">
        <v>60</v>
      </c>
      <c r="G77" s="305"/>
      <c r="H77" s="305"/>
      <c r="I77" s="306"/>
      <c r="J77" s="309" t="s">
        <v>61</v>
      </c>
      <c r="K77" s="309"/>
      <c r="L77" s="309"/>
    </row>
    <row r="78" spans="1:13" x14ac:dyDescent="0.25">
      <c r="A78" s="310"/>
      <c r="B78" s="311"/>
      <c r="C78" s="311"/>
      <c r="D78" s="311"/>
      <c r="E78" s="312"/>
      <c r="F78" s="310"/>
      <c r="G78" s="311"/>
      <c r="H78" s="312"/>
      <c r="I78" s="307"/>
      <c r="J78" s="313"/>
      <c r="K78" s="314"/>
      <c r="L78" s="315"/>
      <c r="M78" s="74"/>
    </row>
    <row r="79" spans="1:13" x14ac:dyDescent="0.25">
      <c r="A79" s="316"/>
      <c r="B79" s="317"/>
      <c r="C79" s="317"/>
      <c r="D79" s="317"/>
      <c r="E79" s="318"/>
      <c r="F79" s="316"/>
      <c r="G79" s="317"/>
      <c r="H79" s="318"/>
      <c r="I79" s="308"/>
      <c r="J79" s="319"/>
      <c r="K79" s="320"/>
      <c r="L79" s="321"/>
    </row>
    <row r="80" spans="1:13" x14ac:dyDescent="0.25">
      <c r="A80" s="33"/>
      <c r="B80" s="33"/>
      <c r="C80" s="33"/>
      <c r="D80" s="33"/>
      <c r="E80" s="33"/>
      <c r="F80" s="33"/>
      <c r="G80" s="33"/>
      <c r="H80" s="75"/>
      <c r="I80" s="75"/>
      <c r="J80" s="75"/>
      <c r="K80" s="75"/>
      <c r="L80" s="75"/>
    </row>
  </sheetData>
  <mergeCells count="173">
    <mergeCell ref="A77:E77"/>
    <mergeCell ref="F77:H77"/>
    <mergeCell ref="I77:I79"/>
    <mergeCell ref="J77:L77"/>
    <mergeCell ref="A78:E78"/>
    <mergeCell ref="F78:H78"/>
    <mergeCell ref="J78:L78"/>
    <mergeCell ref="A79:E79"/>
    <mergeCell ref="F79:H79"/>
    <mergeCell ref="J79:L79"/>
    <mergeCell ref="C72:D72"/>
    <mergeCell ref="A73:K73"/>
    <mergeCell ref="A74:L74"/>
    <mergeCell ref="A75:J75"/>
    <mergeCell ref="K75:L75"/>
    <mergeCell ref="A76:L76"/>
    <mergeCell ref="A65:K65"/>
    <mergeCell ref="A69:B69"/>
    <mergeCell ref="C69:D69"/>
    <mergeCell ref="G69:K72"/>
    <mergeCell ref="L69:L70"/>
    <mergeCell ref="A70:B70"/>
    <mergeCell ref="C70:D70"/>
    <mergeCell ref="A71:B71"/>
    <mergeCell ref="C71:D71"/>
    <mergeCell ref="A72:B72"/>
    <mergeCell ref="A63:B63"/>
    <mergeCell ref="C63:D63"/>
    <mergeCell ref="E63:K63"/>
    <mergeCell ref="A64:B64"/>
    <mergeCell ref="C64:D64"/>
    <mergeCell ref="E64:K64"/>
    <mergeCell ref="A61:B61"/>
    <mergeCell ref="C61:D61"/>
    <mergeCell ref="E61:K61"/>
    <mergeCell ref="A62:B62"/>
    <mergeCell ref="C62:D62"/>
    <mergeCell ref="E62:K62"/>
    <mergeCell ref="A59:B59"/>
    <mergeCell ref="C59:D59"/>
    <mergeCell ref="E59:K59"/>
    <mergeCell ref="A60:B60"/>
    <mergeCell ref="C60:D60"/>
    <mergeCell ref="E60:K60"/>
    <mergeCell ref="A57:B57"/>
    <mergeCell ref="C57:D57"/>
    <mergeCell ref="E57:K57"/>
    <mergeCell ref="A58:B58"/>
    <mergeCell ref="C58:D58"/>
    <mergeCell ref="E58:K58"/>
    <mergeCell ref="A50:B50"/>
    <mergeCell ref="I50:K50"/>
    <mergeCell ref="A54:B56"/>
    <mergeCell ref="C54:D56"/>
    <mergeCell ref="E54:K56"/>
    <mergeCell ref="L54:L56"/>
    <mergeCell ref="A45:B45"/>
    <mergeCell ref="C45:D45"/>
    <mergeCell ref="E45:F45"/>
    <mergeCell ref="A49:B49"/>
    <mergeCell ref="C49:D49"/>
    <mergeCell ref="E49:F49"/>
    <mergeCell ref="A46:B46"/>
    <mergeCell ref="A47:B47"/>
    <mergeCell ref="A48:B48"/>
    <mergeCell ref="C46:D46"/>
    <mergeCell ref="C47:D47"/>
    <mergeCell ref="C48:D48"/>
    <mergeCell ref="E46:F46"/>
    <mergeCell ref="E47:F47"/>
    <mergeCell ref="E48:F48"/>
    <mergeCell ref="A43:B43"/>
    <mergeCell ref="C43:D43"/>
    <mergeCell ref="E43:F43"/>
    <mergeCell ref="A44:B44"/>
    <mergeCell ref="C44:D44"/>
    <mergeCell ref="E44:F44"/>
    <mergeCell ref="A41:B41"/>
    <mergeCell ref="C41:D41"/>
    <mergeCell ref="E41:F41"/>
    <mergeCell ref="A42:B42"/>
    <mergeCell ref="C42:D42"/>
    <mergeCell ref="E42:F42"/>
    <mergeCell ref="A39:B39"/>
    <mergeCell ref="C39:D39"/>
    <mergeCell ref="E39:F39"/>
    <mergeCell ref="A40:B40"/>
    <mergeCell ref="C40:D40"/>
    <mergeCell ref="E40:F40"/>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topLeftCell="A46" workbookViewId="0">
      <selection activeCell="A61" sqref="A61:K61"/>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52" t="s">
        <v>27</v>
      </c>
      <c r="B6" s="251" t="s">
        <v>28</v>
      </c>
      <c r="C6" s="251" t="s">
        <v>29</v>
      </c>
      <c r="D6" s="30"/>
      <c r="E6" s="30"/>
      <c r="F6" s="30"/>
      <c r="G6" s="30"/>
      <c r="H6" s="31"/>
      <c r="I6" s="31"/>
      <c r="J6" s="31"/>
      <c r="K6" s="31"/>
      <c r="L6" s="32"/>
    </row>
    <row r="7" spans="1:12" x14ac:dyDescent="0.25">
      <c r="A7" s="41" t="s">
        <v>495</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54" t="s">
        <v>40</v>
      </c>
      <c r="K13" s="254" t="s">
        <v>40</v>
      </c>
      <c r="L13" s="254" t="s">
        <v>41</v>
      </c>
    </row>
    <row r="14" spans="1:12" x14ac:dyDescent="0.25">
      <c r="A14" s="396"/>
      <c r="B14" s="397"/>
      <c r="C14" s="396"/>
      <c r="D14" s="397"/>
      <c r="E14" s="361"/>
      <c r="F14" s="362"/>
      <c r="G14" s="399"/>
      <c r="H14" s="399"/>
      <c r="I14" s="399"/>
      <c r="J14" s="255" t="s">
        <v>42</v>
      </c>
      <c r="K14" s="255" t="s">
        <v>43</v>
      </c>
      <c r="L14" s="255" t="s">
        <v>44</v>
      </c>
    </row>
    <row r="15" spans="1:12" x14ac:dyDescent="0.25">
      <c r="A15" s="385">
        <v>1</v>
      </c>
      <c r="B15" s="384"/>
      <c r="C15" s="386" t="s">
        <v>74</v>
      </c>
      <c r="D15" s="386"/>
      <c r="E15" s="383" t="s">
        <v>187</v>
      </c>
      <c r="F15" s="383"/>
      <c r="G15" s="59" t="s">
        <v>26</v>
      </c>
      <c r="H15" s="55">
        <v>804500</v>
      </c>
      <c r="I15" s="56"/>
      <c r="J15" s="57"/>
      <c r="K15" s="57"/>
      <c r="L15" s="58">
        <f t="shared" ref="L15:L50" si="0">H15</f>
        <v>804500</v>
      </c>
    </row>
    <row r="16" spans="1:12" x14ac:dyDescent="0.25">
      <c r="A16" s="385">
        <v>1</v>
      </c>
      <c r="B16" s="384"/>
      <c r="C16" s="386" t="s">
        <v>342</v>
      </c>
      <c r="D16" s="386"/>
      <c r="E16" s="383" t="s">
        <v>227</v>
      </c>
      <c r="F16" s="383"/>
      <c r="G16" s="59" t="s">
        <v>26</v>
      </c>
      <c r="H16" s="55">
        <v>578500</v>
      </c>
      <c r="I16" s="56"/>
      <c r="J16" s="57"/>
      <c r="K16" s="57"/>
      <c r="L16" s="58">
        <f t="shared" si="0"/>
        <v>578500</v>
      </c>
    </row>
    <row r="17" spans="1:12" x14ac:dyDescent="0.25">
      <c r="A17" s="387" t="s">
        <v>77</v>
      </c>
      <c r="B17" s="386"/>
      <c r="C17" s="386" t="s">
        <v>77</v>
      </c>
      <c r="D17" s="386"/>
      <c r="E17" s="388" t="s">
        <v>496</v>
      </c>
      <c r="F17" s="389"/>
      <c r="G17" s="257" t="s">
        <v>26</v>
      </c>
      <c r="H17" s="60">
        <v>659900</v>
      </c>
      <c r="I17" s="56"/>
      <c r="J17" s="57"/>
      <c r="K17" s="57"/>
      <c r="L17" s="58">
        <f t="shared" si="0"/>
        <v>659900</v>
      </c>
    </row>
    <row r="18" spans="1:12" x14ac:dyDescent="0.25">
      <c r="A18" s="387" t="s">
        <v>77</v>
      </c>
      <c r="B18" s="386"/>
      <c r="C18" s="384">
        <v>5</v>
      </c>
      <c r="D18" s="384"/>
      <c r="E18" s="388" t="s">
        <v>359</v>
      </c>
      <c r="F18" s="389"/>
      <c r="G18" s="257" t="s">
        <v>26</v>
      </c>
      <c r="H18" s="55">
        <v>365300</v>
      </c>
      <c r="I18" s="56"/>
      <c r="J18" s="57"/>
      <c r="K18" s="57"/>
      <c r="L18" s="58">
        <f t="shared" si="0"/>
        <v>365300</v>
      </c>
    </row>
    <row r="19" spans="1:12" x14ac:dyDescent="0.25">
      <c r="A19" s="387" t="s">
        <v>77</v>
      </c>
      <c r="B19" s="386"/>
      <c r="C19" s="384">
        <v>4</v>
      </c>
      <c r="D19" s="384"/>
      <c r="E19" s="388" t="s">
        <v>463</v>
      </c>
      <c r="F19" s="389"/>
      <c r="G19" s="257" t="s">
        <v>26</v>
      </c>
      <c r="H19" s="55">
        <v>298000</v>
      </c>
      <c r="I19" s="56"/>
      <c r="J19" s="57"/>
      <c r="K19" s="57"/>
      <c r="L19" s="58">
        <f t="shared" si="0"/>
        <v>298000</v>
      </c>
    </row>
    <row r="20" spans="1:12" x14ac:dyDescent="0.25">
      <c r="A20" s="387" t="s">
        <v>77</v>
      </c>
      <c r="B20" s="386"/>
      <c r="C20" s="379" t="s">
        <v>80</v>
      </c>
      <c r="D20" s="380"/>
      <c r="E20" s="392" t="s">
        <v>481</v>
      </c>
      <c r="F20" s="393"/>
      <c r="G20" s="257" t="s">
        <v>26</v>
      </c>
      <c r="H20" s="55">
        <v>1072700</v>
      </c>
      <c r="I20" s="56"/>
      <c r="J20" s="57"/>
      <c r="K20" s="57"/>
      <c r="L20" s="58">
        <f t="shared" si="0"/>
        <v>1072700</v>
      </c>
    </row>
    <row r="21" spans="1:12" x14ac:dyDescent="0.25">
      <c r="A21" s="385">
        <v>1</v>
      </c>
      <c r="B21" s="384"/>
      <c r="C21" s="386" t="s">
        <v>158</v>
      </c>
      <c r="D21" s="386"/>
      <c r="E21" s="383" t="s">
        <v>390</v>
      </c>
      <c r="F21" s="383"/>
      <c r="G21" s="59" t="s">
        <v>26</v>
      </c>
      <c r="H21" s="55">
        <v>440800</v>
      </c>
      <c r="I21" s="56"/>
      <c r="J21" s="57"/>
      <c r="K21" s="57"/>
      <c r="L21" s="58">
        <f t="shared" si="0"/>
        <v>440800</v>
      </c>
    </row>
    <row r="22" spans="1:12" x14ac:dyDescent="0.25">
      <c r="A22" s="375">
        <v>1</v>
      </c>
      <c r="B22" s="376"/>
      <c r="C22" s="322">
        <v>1</v>
      </c>
      <c r="D22" s="324"/>
      <c r="E22" s="383" t="s">
        <v>497</v>
      </c>
      <c r="F22" s="383"/>
      <c r="G22" s="59" t="s">
        <v>26</v>
      </c>
      <c r="H22" s="55">
        <v>1971000</v>
      </c>
      <c r="I22" s="56"/>
      <c r="J22" s="57"/>
      <c r="K22" s="57"/>
      <c r="L22" s="58">
        <f t="shared" si="0"/>
        <v>1971000</v>
      </c>
    </row>
    <row r="23" spans="1:12" x14ac:dyDescent="0.25">
      <c r="A23" s="375">
        <v>1</v>
      </c>
      <c r="B23" s="376"/>
      <c r="C23" s="384">
        <v>10</v>
      </c>
      <c r="D23" s="384"/>
      <c r="E23" s="383" t="s">
        <v>197</v>
      </c>
      <c r="F23" s="383"/>
      <c r="G23" s="59" t="s">
        <v>26</v>
      </c>
      <c r="H23" s="55">
        <v>481700</v>
      </c>
      <c r="I23" s="56"/>
      <c r="J23" s="57"/>
      <c r="K23" s="57"/>
      <c r="L23" s="58">
        <f t="shared" si="0"/>
        <v>481700</v>
      </c>
    </row>
    <row r="24" spans="1:12" x14ac:dyDescent="0.25">
      <c r="A24" s="375">
        <v>1</v>
      </c>
      <c r="B24" s="376"/>
      <c r="C24" s="379" t="s">
        <v>217</v>
      </c>
      <c r="D24" s="380"/>
      <c r="E24" s="392" t="s">
        <v>283</v>
      </c>
      <c r="F24" s="393"/>
      <c r="G24" s="59" t="s">
        <v>26</v>
      </c>
      <c r="H24" s="55">
        <v>1080900</v>
      </c>
      <c r="I24" s="56"/>
      <c r="J24" s="57"/>
      <c r="K24" s="57"/>
      <c r="L24" s="58">
        <f t="shared" si="0"/>
        <v>1080900</v>
      </c>
    </row>
    <row r="25" spans="1:12" x14ac:dyDescent="0.25">
      <c r="A25" s="375">
        <v>1</v>
      </c>
      <c r="B25" s="376"/>
      <c r="C25" s="379" t="s">
        <v>188</v>
      </c>
      <c r="D25" s="380"/>
      <c r="E25" s="381" t="s">
        <v>404</v>
      </c>
      <c r="F25" s="382"/>
      <c r="G25" s="59" t="s">
        <v>26</v>
      </c>
      <c r="H25" s="55">
        <v>488500</v>
      </c>
      <c r="I25" s="56"/>
      <c r="J25" s="57"/>
      <c r="K25" s="57"/>
      <c r="L25" s="58">
        <f t="shared" si="0"/>
        <v>488500</v>
      </c>
    </row>
    <row r="26" spans="1:12" x14ac:dyDescent="0.25">
      <c r="A26" s="375">
        <v>1</v>
      </c>
      <c r="B26" s="376"/>
      <c r="C26" s="379" t="s">
        <v>142</v>
      </c>
      <c r="D26" s="380"/>
      <c r="E26" s="381" t="s">
        <v>466</v>
      </c>
      <c r="F26" s="382"/>
      <c r="G26" s="59" t="s">
        <v>26</v>
      </c>
      <c r="H26" s="55">
        <v>861400</v>
      </c>
      <c r="I26" s="56"/>
      <c r="J26" s="57"/>
      <c r="K26" s="57"/>
      <c r="L26" s="58">
        <f t="shared" si="0"/>
        <v>861400</v>
      </c>
    </row>
    <row r="27" spans="1:12" x14ac:dyDescent="0.25">
      <c r="A27" s="375">
        <v>1</v>
      </c>
      <c r="B27" s="376"/>
      <c r="C27" s="322">
        <v>1</v>
      </c>
      <c r="D27" s="324"/>
      <c r="E27" s="381" t="s">
        <v>498</v>
      </c>
      <c r="F27" s="382"/>
      <c r="G27" s="257" t="s">
        <v>26</v>
      </c>
      <c r="H27" s="60">
        <v>714200</v>
      </c>
      <c r="I27" s="56"/>
      <c r="J27" s="57"/>
      <c r="K27" s="57"/>
      <c r="L27" s="58">
        <f t="shared" si="0"/>
        <v>714200</v>
      </c>
    </row>
    <row r="28" spans="1:12" x14ac:dyDescent="0.25">
      <c r="A28" s="375">
        <v>1</v>
      </c>
      <c r="B28" s="376"/>
      <c r="C28" s="322">
        <v>5</v>
      </c>
      <c r="D28" s="324"/>
      <c r="E28" s="383" t="s">
        <v>373</v>
      </c>
      <c r="F28" s="383"/>
      <c r="G28" s="257" t="s">
        <v>26</v>
      </c>
      <c r="H28" s="60">
        <v>419300</v>
      </c>
      <c r="I28" s="56"/>
      <c r="J28" s="57"/>
      <c r="K28" s="57"/>
      <c r="L28" s="58">
        <f t="shared" si="0"/>
        <v>419300</v>
      </c>
    </row>
    <row r="29" spans="1:12" x14ac:dyDescent="0.25">
      <c r="A29" s="375">
        <v>1</v>
      </c>
      <c r="B29" s="376"/>
      <c r="C29" s="379" t="s">
        <v>217</v>
      </c>
      <c r="D29" s="380"/>
      <c r="E29" s="377" t="s">
        <v>264</v>
      </c>
      <c r="F29" s="378"/>
      <c r="G29" s="257" t="s">
        <v>26</v>
      </c>
      <c r="H29" s="60">
        <v>1033600</v>
      </c>
      <c r="I29" s="56"/>
      <c r="J29" s="57"/>
      <c r="K29" s="57"/>
      <c r="L29" s="58">
        <f t="shared" si="0"/>
        <v>1033600</v>
      </c>
    </row>
    <row r="30" spans="1:12" x14ac:dyDescent="0.25">
      <c r="A30" s="375">
        <v>1</v>
      </c>
      <c r="B30" s="376"/>
      <c r="C30" s="411" t="s">
        <v>142</v>
      </c>
      <c r="D30" s="412"/>
      <c r="E30" s="381" t="s">
        <v>470</v>
      </c>
      <c r="F30" s="382"/>
      <c r="G30" s="257" t="s">
        <v>26</v>
      </c>
      <c r="H30" s="60">
        <v>1034400</v>
      </c>
      <c r="I30" s="56"/>
      <c r="J30" s="57"/>
      <c r="K30" s="57"/>
      <c r="L30" s="58">
        <f t="shared" si="0"/>
        <v>1034400</v>
      </c>
    </row>
    <row r="31" spans="1:12" x14ac:dyDescent="0.25">
      <c r="A31" s="375">
        <v>1</v>
      </c>
      <c r="B31" s="376"/>
      <c r="C31" s="375">
        <v>5</v>
      </c>
      <c r="D31" s="376"/>
      <c r="E31" s="381" t="s">
        <v>374</v>
      </c>
      <c r="F31" s="382"/>
      <c r="G31" s="257" t="s">
        <v>26</v>
      </c>
      <c r="H31" s="60">
        <v>779300</v>
      </c>
      <c r="I31" s="56"/>
      <c r="J31" s="57"/>
      <c r="K31" s="57"/>
      <c r="L31" s="58">
        <f t="shared" si="0"/>
        <v>779300</v>
      </c>
    </row>
    <row r="32" spans="1:12" x14ac:dyDescent="0.25">
      <c r="A32" s="375">
        <v>1</v>
      </c>
      <c r="B32" s="376"/>
      <c r="C32" s="375">
        <v>6</v>
      </c>
      <c r="D32" s="376"/>
      <c r="E32" s="381" t="s">
        <v>311</v>
      </c>
      <c r="F32" s="382"/>
      <c r="G32" s="257" t="s">
        <v>26</v>
      </c>
      <c r="H32" s="60">
        <v>1383100</v>
      </c>
      <c r="I32" s="56"/>
      <c r="J32" s="57"/>
      <c r="K32" s="57"/>
      <c r="L32" s="58">
        <f t="shared" si="0"/>
        <v>1383100</v>
      </c>
    </row>
    <row r="33" spans="1:12" x14ac:dyDescent="0.25">
      <c r="A33" s="375">
        <v>1</v>
      </c>
      <c r="B33" s="376"/>
      <c r="C33" s="411" t="s">
        <v>158</v>
      </c>
      <c r="D33" s="412"/>
      <c r="E33" s="381" t="s">
        <v>403</v>
      </c>
      <c r="F33" s="382"/>
      <c r="G33" s="257" t="s">
        <v>240</v>
      </c>
      <c r="H33" s="60">
        <v>1360600</v>
      </c>
      <c r="I33" s="56"/>
      <c r="J33" s="57"/>
      <c r="K33" s="57"/>
      <c r="L33" s="58">
        <f t="shared" si="0"/>
        <v>1360600</v>
      </c>
    </row>
    <row r="34" spans="1:12" x14ac:dyDescent="0.25">
      <c r="A34" s="375">
        <v>1</v>
      </c>
      <c r="B34" s="376"/>
      <c r="C34" s="411" t="s">
        <v>140</v>
      </c>
      <c r="D34" s="412"/>
      <c r="E34" s="381" t="s">
        <v>107</v>
      </c>
      <c r="F34" s="382"/>
      <c r="G34" s="257" t="s">
        <v>26</v>
      </c>
      <c r="H34" s="60">
        <v>655726</v>
      </c>
      <c r="I34" s="56"/>
      <c r="J34" s="57"/>
      <c r="K34" s="57"/>
      <c r="L34" s="58">
        <f t="shared" si="0"/>
        <v>655726</v>
      </c>
    </row>
    <row r="35" spans="1:12" x14ac:dyDescent="0.25">
      <c r="A35" s="375">
        <v>1</v>
      </c>
      <c r="B35" s="376"/>
      <c r="C35" s="375">
        <v>13</v>
      </c>
      <c r="D35" s="376"/>
      <c r="E35" s="381" t="s">
        <v>107</v>
      </c>
      <c r="F35" s="382"/>
      <c r="G35" s="257" t="s">
        <v>26</v>
      </c>
      <c r="H35" s="60">
        <v>636199</v>
      </c>
      <c r="I35" s="56"/>
      <c r="J35" s="57"/>
      <c r="K35" s="57"/>
      <c r="L35" s="58">
        <f t="shared" si="0"/>
        <v>636199</v>
      </c>
    </row>
    <row r="36" spans="1:12" x14ac:dyDescent="0.25">
      <c r="A36" s="375">
        <v>1</v>
      </c>
      <c r="B36" s="376"/>
      <c r="C36" s="411" t="s">
        <v>74</v>
      </c>
      <c r="D36" s="412"/>
      <c r="E36" s="381" t="s">
        <v>194</v>
      </c>
      <c r="F36" s="382"/>
      <c r="G36" s="257" t="s">
        <v>26</v>
      </c>
      <c r="H36" s="60">
        <v>735258</v>
      </c>
      <c r="I36" s="56"/>
      <c r="J36" s="57"/>
      <c r="K36" s="57"/>
      <c r="L36" s="58">
        <f t="shared" si="0"/>
        <v>735258</v>
      </c>
    </row>
    <row r="37" spans="1:12" x14ac:dyDescent="0.25">
      <c r="A37" s="375">
        <v>1</v>
      </c>
      <c r="B37" s="376"/>
      <c r="C37" s="379" t="s">
        <v>158</v>
      </c>
      <c r="D37" s="380"/>
      <c r="E37" s="381" t="s">
        <v>389</v>
      </c>
      <c r="F37" s="382"/>
      <c r="G37" s="257" t="s">
        <v>26</v>
      </c>
      <c r="H37" s="60">
        <v>615100</v>
      </c>
      <c r="I37" s="56"/>
      <c r="J37" s="57"/>
      <c r="K37" s="57"/>
      <c r="L37" s="58">
        <f t="shared" si="0"/>
        <v>615100</v>
      </c>
    </row>
    <row r="38" spans="1:12" x14ac:dyDescent="0.25">
      <c r="A38" s="375">
        <v>1</v>
      </c>
      <c r="B38" s="376"/>
      <c r="C38" s="379" t="s">
        <v>158</v>
      </c>
      <c r="D38" s="380"/>
      <c r="E38" s="381" t="s">
        <v>381</v>
      </c>
      <c r="F38" s="382"/>
      <c r="G38" s="257" t="s">
        <v>26</v>
      </c>
      <c r="H38" s="60">
        <v>308200</v>
      </c>
      <c r="I38" s="56"/>
      <c r="J38" s="57"/>
      <c r="K38" s="57"/>
      <c r="L38" s="58">
        <f t="shared" si="0"/>
        <v>308200</v>
      </c>
    </row>
    <row r="39" spans="1:12" x14ac:dyDescent="0.25">
      <c r="A39" s="375">
        <v>1</v>
      </c>
      <c r="B39" s="376"/>
      <c r="C39" s="322">
        <v>5</v>
      </c>
      <c r="D39" s="324"/>
      <c r="E39" s="392" t="s">
        <v>384</v>
      </c>
      <c r="F39" s="393"/>
      <c r="G39" s="257" t="s">
        <v>26</v>
      </c>
      <c r="H39" s="60">
        <v>853615</v>
      </c>
      <c r="I39" s="56"/>
      <c r="J39" s="57"/>
      <c r="K39" s="57"/>
      <c r="L39" s="58">
        <f t="shared" si="0"/>
        <v>853615</v>
      </c>
    </row>
    <row r="40" spans="1:12" x14ac:dyDescent="0.25">
      <c r="A40" s="375">
        <v>1</v>
      </c>
      <c r="B40" s="376"/>
      <c r="C40" s="322">
        <v>5</v>
      </c>
      <c r="D40" s="324"/>
      <c r="E40" s="392" t="s">
        <v>377</v>
      </c>
      <c r="F40" s="393"/>
      <c r="G40" s="257" t="s">
        <v>26</v>
      </c>
      <c r="H40" s="60">
        <v>568650</v>
      </c>
      <c r="I40" s="56"/>
      <c r="J40" s="57"/>
      <c r="K40" s="57"/>
      <c r="L40" s="58">
        <f t="shared" si="0"/>
        <v>568650</v>
      </c>
    </row>
    <row r="41" spans="1:12" x14ac:dyDescent="0.25">
      <c r="A41" s="375">
        <v>1</v>
      </c>
      <c r="B41" s="376"/>
      <c r="C41" s="322">
        <v>4</v>
      </c>
      <c r="D41" s="324"/>
      <c r="E41" s="392" t="s">
        <v>405</v>
      </c>
      <c r="F41" s="393"/>
      <c r="G41" s="257" t="s">
        <v>26</v>
      </c>
      <c r="H41" s="60">
        <v>989800</v>
      </c>
      <c r="I41" s="56"/>
      <c r="J41" s="57"/>
      <c r="K41" s="57"/>
      <c r="L41" s="58">
        <f t="shared" si="0"/>
        <v>989800</v>
      </c>
    </row>
    <row r="42" spans="1:12" x14ac:dyDescent="0.25">
      <c r="A42" s="375">
        <v>1</v>
      </c>
      <c r="B42" s="376"/>
      <c r="C42" s="322">
        <v>6</v>
      </c>
      <c r="D42" s="324"/>
      <c r="E42" s="392" t="s">
        <v>388</v>
      </c>
      <c r="F42" s="393"/>
      <c r="G42" s="257" t="s">
        <v>26</v>
      </c>
      <c r="H42" s="60">
        <v>619100</v>
      </c>
      <c r="I42" s="56"/>
      <c r="J42" s="57"/>
      <c r="K42" s="57"/>
      <c r="L42" s="58">
        <f t="shared" si="0"/>
        <v>619100</v>
      </c>
    </row>
    <row r="43" spans="1:12" x14ac:dyDescent="0.25">
      <c r="A43" s="375">
        <v>1</v>
      </c>
      <c r="B43" s="376"/>
      <c r="C43" s="322">
        <v>6</v>
      </c>
      <c r="D43" s="324"/>
      <c r="E43" s="392" t="s">
        <v>390</v>
      </c>
      <c r="F43" s="393"/>
      <c r="G43" s="257" t="s">
        <v>26</v>
      </c>
      <c r="H43" s="60">
        <v>440800</v>
      </c>
      <c r="I43" s="56"/>
      <c r="J43" s="57"/>
      <c r="K43" s="57"/>
      <c r="L43" s="58">
        <f t="shared" si="0"/>
        <v>440800</v>
      </c>
    </row>
    <row r="44" spans="1:12" x14ac:dyDescent="0.25">
      <c r="A44" s="375">
        <v>1</v>
      </c>
      <c r="B44" s="376"/>
      <c r="C44" s="322">
        <v>5</v>
      </c>
      <c r="D44" s="324"/>
      <c r="E44" s="392" t="s">
        <v>380</v>
      </c>
      <c r="F44" s="393"/>
      <c r="G44" s="257" t="s">
        <v>26</v>
      </c>
      <c r="H44" s="60">
        <v>1376500</v>
      </c>
      <c r="I44" s="56"/>
      <c r="J44" s="57"/>
      <c r="K44" s="57"/>
      <c r="L44" s="58">
        <f t="shared" si="0"/>
        <v>1376500</v>
      </c>
    </row>
    <row r="45" spans="1:12" x14ac:dyDescent="0.25">
      <c r="A45" s="375">
        <v>1</v>
      </c>
      <c r="B45" s="376"/>
      <c r="C45" s="322">
        <v>5</v>
      </c>
      <c r="D45" s="324"/>
      <c r="E45" s="392" t="s">
        <v>387</v>
      </c>
      <c r="F45" s="393"/>
      <c r="G45" s="257" t="s">
        <v>26</v>
      </c>
      <c r="H45" s="60">
        <v>1218500</v>
      </c>
      <c r="I45" s="56"/>
      <c r="J45" s="57"/>
      <c r="K45" s="57"/>
      <c r="L45" s="58">
        <f t="shared" si="0"/>
        <v>1218500</v>
      </c>
    </row>
    <row r="46" spans="1:12" x14ac:dyDescent="0.25">
      <c r="A46" s="375">
        <v>1</v>
      </c>
      <c r="B46" s="376"/>
      <c r="C46" s="322">
        <v>11</v>
      </c>
      <c r="D46" s="324"/>
      <c r="E46" s="392" t="s">
        <v>161</v>
      </c>
      <c r="F46" s="393"/>
      <c r="G46" s="257" t="s">
        <v>26</v>
      </c>
      <c r="H46" s="60">
        <v>319236</v>
      </c>
      <c r="I46" s="56"/>
      <c r="J46" s="57"/>
      <c r="K46" s="57"/>
      <c r="L46" s="58">
        <f t="shared" si="0"/>
        <v>319236</v>
      </c>
    </row>
    <row r="47" spans="1:12" x14ac:dyDescent="0.25">
      <c r="A47" s="375">
        <v>1</v>
      </c>
      <c r="B47" s="376"/>
      <c r="C47" s="322">
        <v>4</v>
      </c>
      <c r="D47" s="324"/>
      <c r="E47" s="392" t="s">
        <v>414</v>
      </c>
      <c r="F47" s="393"/>
      <c r="G47" s="261" t="s">
        <v>26</v>
      </c>
      <c r="H47" s="60">
        <v>452200</v>
      </c>
      <c r="I47" s="56"/>
      <c r="J47" s="57"/>
      <c r="K47" s="57"/>
      <c r="L47" s="58">
        <f t="shared" si="0"/>
        <v>452200</v>
      </c>
    </row>
    <row r="48" spans="1:12" x14ac:dyDescent="0.25">
      <c r="A48" s="375">
        <v>1</v>
      </c>
      <c r="B48" s="376"/>
      <c r="C48" s="322">
        <v>11</v>
      </c>
      <c r="D48" s="324"/>
      <c r="E48" s="392" t="s">
        <v>192</v>
      </c>
      <c r="F48" s="393"/>
      <c r="G48" s="257" t="s">
        <v>26</v>
      </c>
      <c r="H48" s="60">
        <v>425600</v>
      </c>
      <c r="I48" s="56"/>
      <c r="J48" s="57"/>
      <c r="K48" s="57"/>
      <c r="L48" s="58">
        <f t="shared" si="0"/>
        <v>425600</v>
      </c>
    </row>
    <row r="49" spans="1:12" x14ac:dyDescent="0.25">
      <c r="A49" s="375">
        <v>1</v>
      </c>
      <c r="B49" s="376"/>
      <c r="C49" s="322">
        <v>10</v>
      </c>
      <c r="D49" s="324"/>
      <c r="E49" s="392" t="s">
        <v>186</v>
      </c>
      <c r="F49" s="393"/>
      <c r="G49" s="257" t="s">
        <v>26</v>
      </c>
      <c r="H49" s="60">
        <v>725121</v>
      </c>
      <c r="I49" s="56"/>
      <c r="J49" s="57"/>
      <c r="K49" s="57"/>
      <c r="L49" s="58">
        <f t="shared" si="0"/>
        <v>725121</v>
      </c>
    </row>
    <row r="50" spans="1:12" x14ac:dyDescent="0.25">
      <c r="A50" s="375">
        <v>1</v>
      </c>
      <c r="B50" s="376"/>
      <c r="C50" s="322">
        <v>1</v>
      </c>
      <c r="D50" s="324"/>
      <c r="E50" s="392" t="s">
        <v>504</v>
      </c>
      <c r="F50" s="393"/>
      <c r="G50" s="257" t="s">
        <v>26</v>
      </c>
      <c r="H50" s="60">
        <v>252500</v>
      </c>
      <c r="I50" s="56"/>
      <c r="J50" s="57"/>
      <c r="K50" s="57"/>
      <c r="L50" s="58">
        <f t="shared" si="0"/>
        <v>252500</v>
      </c>
    </row>
    <row r="51" spans="1:12" x14ac:dyDescent="0.25">
      <c r="A51" s="322"/>
      <c r="B51" s="324"/>
      <c r="C51" s="61" t="s">
        <v>45</v>
      </c>
      <c r="D51" s="62"/>
      <c r="E51" s="62"/>
      <c r="F51" s="62"/>
      <c r="G51" s="62"/>
      <c r="H51" s="63">
        <f>SUM(H15:H50)</f>
        <v>27019805</v>
      </c>
      <c r="I51" s="334"/>
      <c r="J51" s="335"/>
      <c r="K51" s="336"/>
      <c r="L51" s="63">
        <f>SUM(L15:L50)</f>
        <v>27019805</v>
      </c>
    </row>
    <row r="52" spans="1:12" x14ac:dyDescent="0.25">
      <c r="A52" s="64"/>
      <c r="B52" s="38"/>
      <c r="C52" s="29"/>
      <c r="D52" s="30"/>
      <c r="E52" s="30"/>
      <c r="F52" s="30"/>
      <c r="G52" s="30"/>
      <c r="H52" s="31"/>
      <c r="I52" s="31"/>
      <c r="J52" s="31"/>
      <c r="K52" s="31"/>
      <c r="L52" s="32"/>
    </row>
    <row r="53" spans="1:12" x14ac:dyDescent="0.25">
      <c r="A53" s="48" t="s">
        <v>46</v>
      </c>
      <c r="B53" s="38"/>
      <c r="C53" s="29"/>
      <c r="D53" s="30"/>
      <c r="E53" s="30"/>
      <c r="F53" s="30"/>
      <c r="G53" s="30"/>
      <c r="H53" s="31"/>
      <c r="I53" s="31"/>
      <c r="J53" s="31"/>
      <c r="K53" s="31"/>
      <c r="L53" s="32"/>
    </row>
    <row r="54" spans="1:12" x14ac:dyDescent="0.25">
      <c r="A54" s="48"/>
      <c r="B54" s="30"/>
      <c r="C54" s="30"/>
      <c r="D54" s="30"/>
      <c r="E54" s="30"/>
      <c r="F54" s="30"/>
      <c r="G54" s="30"/>
      <c r="H54" s="31"/>
      <c r="I54" s="31"/>
      <c r="J54" s="31"/>
      <c r="K54" s="31"/>
      <c r="L54" s="32"/>
    </row>
    <row r="55" spans="1:12" x14ac:dyDescent="0.25">
      <c r="A55" s="357" t="s">
        <v>47</v>
      </c>
      <c r="B55" s="358"/>
      <c r="C55" s="363" t="s">
        <v>48</v>
      </c>
      <c r="D55" s="364"/>
      <c r="E55" s="357" t="s">
        <v>49</v>
      </c>
      <c r="F55" s="369"/>
      <c r="G55" s="369"/>
      <c r="H55" s="369"/>
      <c r="I55" s="369"/>
      <c r="J55" s="369"/>
      <c r="K55" s="358"/>
      <c r="L55" s="372" t="s">
        <v>50</v>
      </c>
    </row>
    <row r="56" spans="1:12" x14ac:dyDescent="0.25">
      <c r="A56" s="359"/>
      <c r="B56" s="360"/>
      <c r="C56" s="365"/>
      <c r="D56" s="366"/>
      <c r="E56" s="359"/>
      <c r="F56" s="370"/>
      <c r="G56" s="370"/>
      <c r="H56" s="370"/>
      <c r="I56" s="370"/>
      <c r="J56" s="370"/>
      <c r="K56" s="360"/>
      <c r="L56" s="373"/>
    </row>
    <row r="57" spans="1:12" x14ac:dyDescent="0.25">
      <c r="A57" s="361"/>
      <c r="B57" s="362"/>
      <c r="C57" s="367"/>
      <c r="D57" s="368"/>
      <c r="E57" s="361"/>
      <c r="F57" s="371"/>
      <c r="G57" s="371"/>
      <c r="H57" s="371"/>
      <c r="I57" s="371"/>
      <c r="J57" s="371"/>
      <c r="K57" s="362"/>
      <c r="L57" s="374"/>
    </row>
    <row r="58" spans="1:12" x14ac:dyDescent="0.25">
      <c r="A58" s="352">
        <v>46130</v>
      </c>
      <c r="B58" s="353"/>
      <c r="C58" s="322">
        <v>31</v>
      </c>
      <c r="D58" s="324"/>
      <c r="E58" s="354" t="s">
        <v>500</v>
      </c>
      <c r="F58" s="355"/>
      <c r="G58" s="355"/>
      <c r="H58" s="355"/>
      <c r="I58" s="355"/>
      <c r="J58" s="355"/>
      <c r="K58" s="356"/>
      <c r="L58" s="55">
        <v>7669200</v>
      </c>
    </row>
    <row r="59" spans="1:12" x14ac:dyDescent="0.25">
      <c r="A59" s="352">
        <v>46130</v>
      </c>
      <c r="B59" s="353"/>
      <c r="C59" s="322">
        <v>32</v>
      </c>
      <c r="D59" s="324"/>
      <c r="E59" s="354" t="s">
        <v>502</v>
      </c>
      <c r="F59" s="355"/>
      <c r="G59" s="355"/>
      <c r="H59" s="355"/>
      <c r="I59" s="355"/>
      <c r="J59" s="355"/>
      <c r="K59" s="356"/>
      <c r="L59" s="55">
        <v>1140000</v>
      </c>
    </row>
    <row r="60" spans="1:12" x14ac:dyDescent="0.25">
      <c r="A60" s="352">
        <v>46148</v>
      </c>
      <c r="B60" s="353"/>
      <c r="C60" s="322" t="s">
        <v>100</v>
      </c>
      <c r="D60" s="324"/>
      <c r="E60" s="354" t="s">
        <v>499</v>
      </c>
      <c r="F60" s="355"/>
      <c r="G60" s="355"/>
      <c r="H60" s="355"/>
      <c r="I60" s="355"/>
      <c r="J60" s="355"/>
      <c r="K60" s="356"/>
      <c r="L60" s="55">
        <v>280000</v>
      </c>
    </row>
    <row r="61" spans="1:12" x14ac:dyDescent="0.25">
      <c r="A61" s="352">
        <v>46170</v>
      </c>
      <c r="B61" s="353"/>
      <c r="C61" s="322" t="s">
        <v>100</v>
      </c>
      <c r="D61" s="324"/>
      <c r="E61" s="354" t="s">
        <v>244</v>
      </c>
      <c r="F61" s="355"/>
      <c r="G61" s="355"/>
      <c r="H61" s="355"/>
      <c r="I61" s="355"/>
      <c r="J61" s="355"/>
      <c r="K61" s="356"/>
      <c r="L61" s="55">
        <v>17930605</v>
      </c>
    </row>
    <row r="62" spans="1:12" x14ac:dyDescent="0.25">
      <c r="A62" s="352"/>
      <c r="B62" s="353"/>
      <c r="C62" s="322"/>
      <c r="D62" s="324"/>
      <c r="E62" s="354"/>
      <c r="F62" s="355"/>
      <c r="G62" s="355"/>
      <c r="H62" s="355"/>
      <c r="I62" s="355"/>
      <c r="J62" s="355"/>
      <c r="K62" s="356"/>
      <c r="L62" s="55"/>
    </row>
    <row r="63" spans="1:12" x14ac:dyDescent="0.25">
      <c r="A63" s="352"/>
      <c r="B63" s="353"/>
      <c r="C63" s="322"/>
      <c r="D63" s="324"/>
      <c r="E63" s="354"/>
      <c r="F63" s="355"/>
      <c r="G63" s="355"/>
      <c r="H63" s="355"/>
      <c r="I63" s="355"/>
      <c r="J63" s="355"/>
      <c r="K63" s="356"/>
      <c r="L63" s="55"/>
    </row>
    <row r="64" spans="1:12" s="33" customFormat="1" x14ac:dyDescent="0.25">
      <c r="A64" s="352"/>
      <c r="B64" s="353"/>
      <c r="C64" s="322"/>
      <c r="D64" s="324"/>
      <c r="E64" s="354"/>
      <c r="F64" s="355"/>
      <c r="G64" s="355"/>
      <c r="H64" s="355"/>
      <c r="I64" s="355"/>
      <c r="J64" s="355"/>
      <c r="K64" s="356"/>
      <c r="L64" s="55"/>
    </row>
    <row r="65" spans="1:13" x14ac:dyDescent="0.25">
      <c r="A65" s="352"/>
      <c r="B65" s="353"/>
      <c r="C65" s="322"/>
      <c r="D65" s="324"/>
      <c r="E65" s="354"/>
      <c r="F65" s="355"/>
      <c r="G65" s="355"/>
      <c r="H65" s="355"/>
      <c r="I65" s="355"/>
      <c r="J65" s="355"/>
      <c r="K65" s="356"/>
      <c r="L65" s="55"/>
      <c r="M65" s="33"/>
    </row>
    <row r="66" spans="1:13" x14ac:dyDescent="0.25">
      <c r="A66" s="334" t="s">
        <v>51</v>
      </c>
      <c r="B66" s="335"/>
      <c r="C66" s="335"/>
      <c r="D66" s="335"/>
      <c r="E66" s="335"/>
      <c r="F66" s="335"/>
      <c r="G66" s="335"/>
      <c r="H66" s="335"/>
      <c r="I66" s="335"/>
      <c r="J66" s="335"/>
      <c r="K66" s="336"/>
      <c r="L66" s="63">
        <f>SUM(L58:L65)</f>
        <v>27019805</v>
      </c>
    </row>
    <row r="67" spans="1:13" x14ac:dyDescent="0.25">
      <c r="A67" s="65"/>
      <c r="B67" s="66"/>
      <c r="C67" s="66"/>
      <c r="D67" s="66"/>
      <c r="E67" s="66"/>
      <c r="F67" s="66"/>
      <c r="G67" s="66"/>
      <c r="H67" s="31"/>
      <c r="I67" s="31"/>
      <c r="J67" s="31"/>
      <c r="K67" s="31"/>
      <c r="L67" s="31"/>
    </row>
    <row r="68" spans="1:13" x14ac:dyDescent="0.25">
      <c r="A68" s="48" t="s">
        <v>52</v>
      </c>
      <c r="B68" s="30"/>
      <c r="C68" s="30"/>
      <c r="D68" s="30"/>
      <c r="E68" s="30"/>
      <c r="F68" s="30"/>
      <c r="G68" s="30"/>
      <c r="H68" s="31"/>
      <c r="I68" s="31"/>
      <c r="J68" s="31"/>
      <c r="K68" s="31"/>
      <c r="L68" s="31"/>
    </row>
    <row r="69" spans="1:13" x14ac:dyDescent="0.25">
      <c r="A69" s="44"/>
      <c r="B69" s="45"/>
      <c r="C69" s="45"/>
      <c r="D69" s="45"/>
      <c r="E69" s="45"/>
      <c r="F69" s="45"/>
      <c r="G69" s="45"/>
      <c r="H69" s="31"/>
      <c r="I69" s="31"/>
      <c r="J69" s="46"/>
      <c r="K69" s="46"/>
      <c r="L69" s="31"/>
    </row>
    <row r="70" spans="1:13" x14ac:dyDescent="0.25">
      <c r="A70" s="337" t="s">
        <v>53</v>
      </c>
      <c r="B70" s="338"/>
      <c r="C70" s="337" t="s">
        <v>54</v>
      </c>
      <c r="D70" s="338"/>
      <c r="E70" s="253" t="s">
        <v>55</v>
      </c>
      <c r="F70" s="68" t="s">
        <v>37</v>
      </c>
      <c r="G70" s="339"/>
      <c r="H70" s="340"/>
      <c r="I70" s="340"/>
      <c r="J70" s="340"/>
      <c r="K70" s="341"/>
      <c r="L70" s="348" t="s">
        <v>56</v>
      </c>
    </row>
    <row r="71" spans="1:13" x14ac:dyDescent="0.25">
      <c r="A71" s="316"/>
      <c r="B71" s="317"/>
      <c r="C71" s="350" t="s">
        <v>57</v>
      </c>
      <c r="D71" s="351"/>
      <c r="E71" s="69"/>
      <c r="F71" s="44"/>
      <c r="G71" s="342"/>
      <c r="H71" s="343"/>
      <c r="I71" s="343"/>
      <c r="J71" s="343"/>
      <c r="K71" s="344"/>
      <c r="L71" s="349"/>
    </row>
    <row r="72" spans="1:13" x14ac:dyDescent="0.25">
      <c r="A72" s="310"/>
      <c r="B72" s="312"/>
      <c r="C72" s="310"/>
      <c r="D72" s="312"/>
      <c r="E72" s="70"/>
      <c r="F72" s="256"/>
      <c r="G72" s="342"/>
      <c r="H72" s="343"/>
      <c r="I72" s="343"/>
      <c r="J72" s="343"/>
      <c r="K72" s="344"/>
      <c r="L72" s="55"/>
    </row>
    <row r="73" spans="1:13" x14ac:dyDescent="0.25">
      <c r="A73" s="310"/>
      <c r="B73" s="312"/>
      <c r="C73" s="310"/>
      <c r="D73" s="312"/>
      <c r="E73" s="70"/>
      <c r="F73" s="64"/>
      <c r="G73" s="345"/>
      <c r="H73" s="346"/>
      <c r="I73" s="346"/>
      <c r="J73" s="346"/>
      <c r="K73" s="347"/>
      <c r="L73" s="72"/>
    </row>
    <row r="74" spans="1:13" x14ac:dyDescent="0.25">
      <c r="A74" s="322" t="s">
        <v>41</v>
      </c>
      <c r="B74" s="323"/>
      <c r="C74" s="323"/>
      <c r="D74" s="323"/>
      <c r="E74" s="323"/>
      <c r="F74" s="323"/>
      <c r="G74" s="323"/>
      <c r="H74" s="323"/>
      <c r="I74" s="323"/>
      <c r="J74" s="323"/>
      <c r="K74" s="324"/>
      <c r="L74" s="73">
        <f>SUM(L72:L73)</f>
        <v>0</v>
      </c>
    </row>
    <row r="75" spans="1:13" x14ac:dyDescent="0.25">
      <c r="A75" s="325"/>
      <c r="B75" s="326"/>
      <c r="C75" s="326"/>
      <c r="D75" s="326"/>
      <c r="E75" s="326"/>
      <c r="F75" s="326"/>
      <c r="G75" s="326"/>
      <c r="H75" s="326"/>
      <c r="I75" s="326"/>
      <c r="J75" s="326"/>
      <c r="K75" s="326"/>
      <c r="L75" s="326"/>
    </row>
    <row r="76" spans="1:13" x14ac:dyDescent="0.25">
      <c r="A76" s="327" t="s">
        <v>58</v>
      </c>
      <c r="B76" s="328"/>
      <c r="C76" s="328"/>
      <c r="D76" s="328"/>
      <c r="E76" s="328"/>
      <c r="F76" s="328"/>
      <c r="G76" s="328"/>
      <c r="H76" s="328"/>
      <c r="I76" s="328"/>
      <c r="J76" s="329"/>
      <c r="K76" s="330">
        <f>K9+L51-L66-L74</f>
        <v>0</v>
      </c>
      <c r="L76" s="330"/>
    </row>
    <row r="77" spans="1:13" x14ac:dyDescent="0.25">
      <c r="A77" s="331"/>
      <c r="B77" s="332"/>
      <c r="C77" s="332"/>
      <c r="D77" s="332"/>
      <c r="E77" s="332"/>
      <c r="F77" s="332"/>
      <c r="G77" s="332"/>
      <c r="H77" s="332"/>
      <c r="I77" s="332"/>
      <c r="J77" s="332"/>
      <c r="K77" s="332"/>
      <c r="L77" s="333"/>
    </row>
    <row r="78" spans="1:13" x14ac:dyDescent="0.25">
      <c r="A78" s="305" t="s">
        <v>59</v>
      </c>
      <c r="B78" s="305"/>
      <c r="C78" s="305"/>
      <c r="D78" s="305"/>
      <c r="E78" s="305"/>
      <c r="F78" s="305" t="s">
        <v>60</v>
      </c>
      <c r="G78" s="305"/>
      <c r="H78" s="305"/>
      <c r="I78" s="306"/>
      <c r="J78" s="309" t="s">
        <v>61</v>
      </c>
      <c r="K78" s="309"/>
      <c r="L78" s="309"/>
    </row>
    <row r="79" spans="1:13" x14ac:dyDescent="0.25">
      <c r="A79" s="310"/>
      <c r="B79" s="311"/>
      <c r="C79" s="311"/>
      <c r="D79" s="311"/>
      <c r="E79" s="312"/>
      <c r="F79" s="310"/>
      <c r="G79" s="311"/>
      <c r="H79" s="312"/>
      <c r="I79" s="307"/>
      <c r="J79" s="313"/>
      <c r="K79" s="314"/>
      <c r="L79" s="315"/>
      <c r="M79" s="74"/>
    </row>
    <row r="80" spans="1:13" x14ac:dyDescent="0.25">
      <c r="A80" s="316"/>
      <c r="B80" s="317"/>
      <c r="C80" s="317"/>
      <c r="D80" s="317"/>
      <c r="E80" s="318"/>
      <c r="F80" s="316"/>
      <c r="G80" s="317"/>
      <c r="H80" s="318"/>
      <c r="I80" s="308"/>
      <c r="J80" s="319"/>
      <c r="K80" s="320"/>
      <c r="L80" s="321"/>
    </row>
    <row r="81" spans="1:12" x14ac:dyDescent="0.25">
      <c r="A81" s="33"/>
      <c r="B81" s="33"/>
      <c r="C81" s="33"/>
      <c r="D81" s="33"/>
      <c r="E81" s="33"/>
      <c r="F81" s="33"/>
      <c r="G81" s="33"/>
      <c r="H81" s="75"/>
      <c r="I81" s="75"/>
      <c r="J81" s="75"/>
      <c r="K81" s="75"/>
      <c r="L81" s="75"/>
    </row>
  </sheetData>
  <mergeCells count="176">
    <mergeCell ref="A47:B47"/>
    <mergeCell ref="C47:D47"/>
    <mergeCell ref="E47:F47"/>
    <mergeCell ref="A13:B14"/>
    <mergeCell ref="C13:D14"/>
    <mergeCell ref="E13:F14"/>
    <mergeCell ref="G13:G14"/>
    <mergeCell ref="H13:H14"/>
    <mergeCell ref="I13:I14"/>
    <mergeCell ref="A18:B18"/>
    <mergeCell ref="C18:D18"/>
    <mergeCell ref="E18:F18"/>
    <mergeCell ref="A21:B21"/>
    <mergeCell ref="C21:D21"/>
    <mergeCell ref="E21:F21"/>
    <mergeCell ref="A22:B22"/>
    <mergeCell ref="C22:D22"/>
    <mergeCell ref="E22:F22"/>
    <mergeCell ref="A19:B19"/>
    <mergeCell ref="C19:D19"/>
    <mergeCell ref="E19:F19"/>
    <mergeCell ref="A20:B20"/>
    <mergeCell ref="C20:D20"/>
    <mergeCell ref="E20:F20"/>
    <mergeCell ref="A1:L1"/>
    <mergeCell ref="A4:C4"/>
    <mergeCell ref="E4:F5"/>
    <mergeCell ref="A5:C5"/>
    <mergeCell ref="A9:J9"/>
    <mergeCell ref="K9:L9"/>
    <mergeCell ref="A17:B17"/>
    <mergeCell ref="C17:D17"/>
    <mergeCell ref="E17:F17"/>
    <mergeCell ref="A15:B15"/>
    <mergeCell ref="C15:D15"/>
    <mergeCell ref="E15:F15"/>
    <mergeCell ref="A16:B16"/>
    <mergeCell ref="C16:D16"/>
    <mergeCell ref="E16:F16"/>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A41:B41"/>
    <mergeCell ref="C41:D41"/>
    <mergeCell ref="E41:F41"/>
    <mergeCell ref="A42:B42"/>
    <mergeCell ref="C42:D42"/>
    <mergeCell ref="E42:F42"/>
    <mergeCell ref="A39:B39"/>
    <mergeCell ref="C39:D39"/>
    <mergeCell ref="E39:F39"/>
    <mergeCell ref="A40:B40"/>
    <mergeCell ref="C40:D40"/>
    <mergeCell ref="E40:F40"/>
    <mergeCell ref="A45:B45"/>
    <mergeCell ref="C45:D45"/>
    <mergeCell ref="E45:F45"/>
    <mergeCell ref="A46:B46"/>
    <mergeCell ref="C46:D46"/>
    <mergeCell ref="E46:F46"/>
    <mergeCell ref="A43:B43"/>
    <mergeCell ref="C43:D43"/>
    <mergeCell ref="E43:F43"/>
    <mergeCell ref="A44:B44"/>
    <mergeCell ref="C44:D44"/>
    <mergeCell ref="E44:F44"/>
    <mergeCell ref="A50:B50"/>
    <mergeCell ref="C50:D50"/>
    <mergeCell ref="E50:F50"/>
    <mergeCell ref="A51:B51"/>
    <mergeCell ref="I51:K51"/>
    <mergeCell ref="A55:B57"/>
    <mergeCell ref="C55:D57"/>
    <mergeCell ref="E55:K57"/>
    <mergeCell ref="A48:B48"/>
    <mergeCell ref="C48:D48"/>
    <mergeCell ref="E48:F48"/>
    <mergeCell ref="A49:B49"/>
    <mergeCell ref="C49:D49"/>
    <mergeCell ref="E49:F49"/>
    <mergeCell ref="A60:B60"/>
    <mergeCell ref="C60:D60"/>
    <mergeCell ref="E60:K60"/>
    <mergeCell ref="A61:B61"/>
    <mergeCell ref="C61:D61"/>
    <mergeCell ref="E61:K61"/>
    <mergeCell ref="L55:L57"/>
    <mergeCell ref="A58:B58"/>
    <mergeCell ref="C58:D58"/>
    <mergeCell ref="E58:K58"/>
    <mergeCell ref="A59:B59"/>
    <mergeCell ref="C59:D59"/>
    <mergeCell ref="E59:K59"/>
    <mergeCell ref="A64:B64"/>
    <mergeCell ref="C64:D64"/>
    <mergeCell ref="E64:K64"/>
    <mergeCell ref="A65:B65"/>
    <mergeCell ref="C65:D65"/>
    <mergeCell ref="E65:K65"/>
    <mergeCell ref="A62:B62"/>
    <mergeCell ref="C62:D62"/>
    <mergeCell ref="E62:K62"/>
    <mergeCell ref="A63:B63"/>
    <mergeCell ref="C63:D63"/>
    <mergeCell ref="E63:K63"/>
    <mergeCell ref="C73:D73"/>
    <mergeCell ref="A74:K74"/>
    <mergeCell ref="A75:L75"/>
    <mergeCell ref="A76:J76"/>
    <mergeCell ref="K76:L76"/>
    <mergeCell ref="A77:L77"/>
    <mergeCell ref="A66:K66"/>
    <mergeCell ref="A70:B70"/>
    <mergeCell ref="C70:D70"/>
    <mergeCell ref="G70:K73"/>
    <mergeCell ref="L70:L71"/>
    <mergeCell ref="A71:B71"/>
    <mergeCell ref="C71:D71"/>
    <mergeCell ref="A72:B72"/>
    <mergeCell ref="C72:D72"/>
    <mergeCell ref="A73:B73"/>
    <mergeCell ref="A78:E78"/>
    <mergeCell ref="F78:H78"/>
    <mergeCell ref="I78:I80"/>
    <mergeCell ref="J78:L78"/>
    <mergeCell ref="A79:E79"/>
    <mergeCell ref="F79:H79"/>
    <mergeCell ref="J79:L79"/>
    <mergeCell ref="A80:E80"/>
    <mergeCell ref="F80:H80"/>
    <mergeCell ref="J80:L8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
  <sheetViews>
    <sheetView topLeftCell="A16" workbookViewId="0">
      <selection activeCell="A16" sqref="A16:B16"/>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59" t="s">
        <v>27</v>
      </c>
      <c r="B6" s="264" t="s">
        <v>28</v>
      </c>
      <c r="C6" s="264" t="s">
        <v>29</v>
      </c>
      <c r="D6" s="30"/>
      <c r="E6" s="30"/>
      <c r="F6" s="30"/>
      <c r="G6" s="30"/>
      <c r="H6" s="31"/>
      <c r="I6" s="31"/>
      <c r="J6" s="31"/>
      <c r="K6" s="31"/>
      <c r="L6" s="32"/>
    </row>
    <row r="7" spans="1:12" x14ac:dyDescent="0.25">
      <c r="A7" s="41" t="s">
        <v>505</v>
      </c>
      <c r="B7" s="42" t="s">
        <v>122</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62" t="s">
        <v>40</v>
      </c>
      <c r="K13" s="262" t="s">
        <v>40</v>
      </c>
      <c r="L13" s="262" t="s">
        <v>41</v>
      </c>
    </row>
    <row r="14" spans="1:12" x14ac:dyDescent="0.25">
      <c r="A14" s="396"/>
      <c r="B14" s="397"/>
      <c r="C14" s="396"/>
      <c r="D14" s="397"/>
      <c r="E14" s="361"/>
      <c r="F14" s="362"/>
      <c r="G14" s="399"/>
      <c r="H14" s="399"/>
      <c r="I14" s="399"/>
      <c r="J14" s="263" t="s">
        <v>42</v>
      </c>
      <c r="K14" s="263" t="s">
        <v>43</v>
      </c>
      <c r="L14" s="263" t="s">
        <v>44</v>
      </c>
    </row>
    <row r="15" spans="1:12" x14ac:dyDescent="0.25">
      <c r="A15" s="385">
        <v>4</v>
      </c>
      <c r="B15" s="384"/>
      <c r="C15" s="386" t="s">
        <v>506</v>
      </c>
      <c r="D15" s="386"/>
      <c r="E15" s="383" t="s">
        <v>507</v>
      </c>
      <c r="F15" s="383"/>
      <c r="G15" s="59" t="s">
        <v>26</v>
      </c>
      <c r="H15" s="55">
        <v>1763200</v>
      </c>
      <c r="I15" s="56"/>
      <c r="J15" s="57"/>
      <c r="K15" s="57"/>
      <c r="L15" s="58">
        <f t="shared" ref="L15:L42" si="0">H15</f>
        <v>1763200</v>
      </c>
    </row>
    <row r="16" spans="1:12" x14ac:dyDescent="0.25">
      <c r="A16" s="385">
        <v>1</v>
      </c>
      <c r="B16" s="384"/>
      <c r="C16" s="386" t="s">
        <v>301</v>
      </c>
      <c r="D16" s="386"/>
      <c r="E16" s="383" t="s">
        <v>136</v>
      </c>
      <c r="F16" s="383"/>
      <c r="G16" s="59" t="s">
        <v>26</v>
      </c>
      <c r="H16" s="55">
        <v>656200</v>
      </c>
      <c r="I16" s="56"/>
      <c r="J16" s="57"/>
      <c r="K16" s="57"/>
      <c r="L16" s="58">
        <f t="shared" si="0"/>
        <v>656200</v>
      </c>
    </row>
    <row r="17" spans="1:12" x14ac:dyDescent="0.25">
      <c r="A17" s="387" t="s">
        <v>77</v>
      </c>
      <c r="B17" s="386"/>
      <c r="C17" s="386" t="s">
        <v>142</v>
      </c>
      <c r="D17" s="386"/>
      <c r="E17" s="388" t="s">
        <v>471</v>
      </c>
      <c r="F17" s="389"/>
      <c r="G17" s="261" t="s">
        <v>26</v>
      </c>
      <c r="H17" s="60">
        <v>452200</v>
      </c>
      <c r="I17" s="56"/>
      <c r="J17" s="57"/>
      <c r="K17" s="57"/>
      <c r="L17" s="58">
        <f t="shared" si="0"/>
        <v>452200</v>
      </c>
    </row>
    <row r="18" spans="1:12" x14ac:dyDescent="0.25">
      <c r="A18" s="387" t="s">
        <v>77</v>
      </c>
      <c r="B18" s="386"/>
      <c r="C18" s="384">
        <v>11</v>
      </c>
      <c r="D18" s="384"/>
      <c r="E18" s="388" t="s">
        <v>180</v>
      </c>
      <c r="F18" s="389"/>
      <c r="G18" s="261" t="s">
        <v>26</v>
      </c>
      <c r="H18" s="55">
        <v>600000</v>
      </c>
      <c r="I18" s="56"/>
      <c r="J18" s="57"/>
      <c r="K18" s="57"/>
      <c r="L18" s="58">
        <f t="shared" si="0"/>
        <v>600000</v>
      </c>
    </row>
    <row r="19" spans="1:12" x14ac:dyDescent="0.25">
      <c r="A19" s="387" t="s">
        <v>77</v>
      </c>
      <c r="B19" s="386"/>
      <c r="C19" s="384">
        <v>5</v>
      </c>
      <c r="D19" s="384"/>
      <c r="E19" s="388" t="s">
        <v>393</v>
      </c>
      <c r="F19" s="389"/>
      <c r="G19" s="261" t="s">
        <v>26</v>
      </c>
      <c r="H19" s="55">
        <v>965900</v>
      </c>
      <c r="I19" s="56"/>
      <c r="J19" s="57"/>
      <c r="K19" s="57"/>
      <c r="L19" s="58">
        <f t="shared" si="0"/>
        <v>965900</v>
      </c>
    </row>
    <row r="20" spans="1:12" x14ac:dyDescent="0.25">
      <c r="A20" s="387" t="s">
        <v>77</v>
      </c>
      <c r="B20" s="386"/>
      <c r="C20" s="379" t="s">
        <v>142</v>
      </c>
      <c r="D20" s="380"/>
      <c r="E20" s="392" t="s">
        <v>473</v>
      </c>
      <c r="F20" s="393"/>
      <c r="G20" s="261" t="s">
        <v>26</v>
      </c>
      <c r="H20" s="55">
        <v>450400</v>
      </c>
      <c r="I20" s="56"/>
      <c r="J20" s="57"/>
      <c r="K20" s="57"/>
      <c r="L20" s="58">
        <f t="shared" si="0"/>
        <v>450400</v>
      </c>
    </row>
    <row r="21" spans="1:12" x14ac:dyDescent="0.25">
      <c r="A21" s="385">
        <v>1</v>
      </c>
      <c r="B21" s="384"/>
      <c r="C21" s="386" t="s">
        <v>188</v>
      </c>
      <c r="D21" s="386"/>
      <c r="E21" s="383" t="s">
        <v>424</v>
      </c>
      <c r="F21" s="383"/>
      <c r="G21" s="59" t="s">
        <v>26</v>
      </c>
      <c r="H21" s="55">
        <v>696400</v>
      </c>
      <c r="I21" s="56"/>
      <c r="J21" s="57"/>
      <c r="K21" s="57"/>
      <c r="L21" s="58">
        <f t="shared" si="0"/>
        <v>696400</v>
      </c>
    </row>
    <row r="22" spans="1:12" x14ac:dyDescent="0.25">
      <c r="A22" s="375">
        <v>1</v>
      </c>
      <c r="B22" s="376"/>
      <c r="C22" s="322">
        <v>1</v>
      </c>
      <c r="D22" s="324"/>
      <c r="E22" s="383" t="s">
        <v>508</v>
      </c>
      <c r="F22" s="383"/>
      <c r="G22" s="59" t="s">
        <v>26</v>
      </c>
      <c r="H22" s="55">
        <v>581500</v>
      </c>
      <c r="I22" s="56"/>
      <c r="J22" s="57"/>
      <c r="K22" s="57"/>
      <c r="L22" s="58">
        <f t="shared" si="0"/>
        <v>581500</v>
      </c>
    </row>
    <row r="23" spans="1:12" x14ac:dyDescent="0.25">
      <c r="A23" s="375">
        <v>1</v>
      </c>
      <c r="B23" s="376"/>
      <c r="C23" s="384">
        <v>10</v>
      </c>
      <c r="D23" s="384"/>
      <c r="E23" s="383" t="s">
        <v>211</v>
      </c>
      <c r="F23" s="383"/>
      <c r="G23" s="59" t="s">
        <v>26</v>
      </c>
      <c r="H23" s="55">
        <v>790200</v>
      </c>
      <c r="I23" s="56"/>
      <c r="J23" s="57"/>
      <c r="K23" s="57"/>
      <c r="L23" s="58">
        <f t="shared" si="0"/>
        <v>790200</v>
      </c>
    </row>
    <row r="24" spans="1:12" x14ac:dyDescent="0.25">
      <c r="A24" s="375">
        <v>1</v>
      </c>
      <c r="B24" s="376"/>
      <c r="C24" s="379" t="s">
        <v>142</v>
      </c>
      <c r="D24" s="380"/>
      <c r="E24" s="392" t="s">
        <v>472</v>
      </c>
      <c r="F24" s="393"/>
      <c r="G24" s="59" t="s">
        <v>26</v>
      </c>
      <c r="H24" s="55">
        <v>672000</v>
      </c>
      <c r="I24" s="56"/>
      <c r="J24" s="57"/>
      <c r="K24" s="57"/>
      <c r="L24" s="58">
        <f t="shared" si="0"/>
        <v>672000</v>
      </c>
    </row>
    <row r="25" spans="1:12" x14ac:dyDescent="0.25">
      <c r="A25" s="375">
        <v>1</v>
      </c>
      <c r="B25" s="376"/>
      <c r="C25" s="379" t="s">
        <v>342</v>
      </c>
      <c r="D25" s="380"/>
      <c r="E25" s="381" t="s">
        <v>248</v>
      </c>
      <c r="F25" s="382"/>
      <c r="G25" s="59" t="s">
        <v>26</v>
      </c>
      <c r="H25" s="55">
        <v>791528</v>
      </c>
      <c r="I25" s="56"/>
      <c r="J25" s="57"/>
      <c r="K25" s="57"/>
      <c r="L25" s="58">
        <f t="shared" si="0"/>
        <v>791528</v>
      </c>
    </row>
    <row r="26" spans="1:12" x14ac:dyDescent="0.25">
      <c r="A26" s="375">
        <v>1</v>
      </c>
      <c r="B26" s="376"/>
      <c r="C26" s="379" t="s">
        <v>140</v>
      </c>
      <c r="D26" s="380"/>
      <c r="E26" s="381" t="s">
        <v>182</v>
      </c>
      <c r="F26" s="382"/>
      <c r="G26" s="59" t="s">
        <v>26</v>
      </c>
      <c r="H26" s="55">
        <v>421445</v>
      </c>
      <c r="I26" s="56"/>
      <c r="J26" s="57"/>
      <c r="K26" s="57"/>
      <c r="L26" s="58">
        <f t="shared" si="0"/>
        <v>421445</v>
      </c>
    </row>
    <row r="27" spans="1:12" x14ac:dyDescent="0.25">
      <c r="A27" s="375">
        <v>1</v>
      </c>
      <c r="B27" s="376"/>
      <c r="C27" s="322">
        <v>1</v>
      </c>
      <c r="D27" s="324"/>
      <c r="E27" s="381" t="s">
        <v>520</v>
      </c>
      <c r="F27" s="382"/>
      <c r="G27" s="261" t="s">
        <v>26</v>
      </c>
      <c r="H27" s="60">
        <v>658800</v>
      </c>
      <c r="I27" s="56"/>
      <c r="J27" s="57"/>
      <c r="K27" s="57"/>
      <c r="L27" s="58">
        <f t="shared" si="0"/>
        <v>658800</v>
      </c>
    </row>
    <row r="28" spans="1:12" x14ac:dyDescent="0.25">
      <c r="A28" s="375">
        <v>1</v>
      </c>
      <c r="B28" s="376"/>
      <c r="C28" s="322">
        <v>4</v>
      </c>
      <c r="D28" s="324"/>
      <c r="E28" s="383" t="s">
        <v>423</v>
      </c>
      <c r="F28" s="383"/>
      <c r="G28" s="261" t="s">
        <v>240</v>
      </c>
      <c r="H28" s="60">
        <v>1360600</v>
      </c>
      <c r="I28" s="56"/>
      <c r="J28" s="57"/>
      <c r="K28" s="57"/>
      <c r="L28" s="58">
        <f t="shared" si="0"/>
        <v>1360600</v>
      </c>
    </row>
    <row r="29" spans="1:12" x14ac:dyDescent="0.25">
      <c r="A29" s="375">
        <v>1</v>
      </c>
      <c r="B29" s="376"/>
      <c r="C29" s="379" t="s">
        <v>188</v>
      </c>
      <c r="D29" s="380"/>
      <c r="E29" s="377" t="s">
        <v>475</v>
      </c>
      <c r="F29" s="378"/>
      <c r="G29" s="261" t="s">
        <v>240</v>
      </c>
      <c r="H29" s="60">
        <v>649000</v>
      </c>
      <c r="I29" s="56"/>
      <c r="J29" s="57"/>
      <c r="K29" s="57"/>
      <c r="L29" s="58">
        <f t="shared" si="0"/>
        <v>649000</v>
      </c>
    </row>
    <row r="30" spans="1:12" x14ac:dyDescent="0.25">
      <c r="A30" s="375">
        <v>1</v>
      </c>
      <c r="B30" s="376"/>
      <c r="C30" s="411" t="s">
        <v>74</v>
      </c>
      <c r="D30" s="412"/>
      <c r="E30" s="381" t="s">
        <v>249</v>
      </c>
      <c r="F30" s="382"/>
      <c r="G30" s="261" t="s">
        <v>240</v>
      </c>
      <c r="H30" s="60">
        <v>290460</v>
      </c>
      <c r="I30" s="56"/>
      <c r="J30" s="57"/>
      <c r="K30" s="57"/>
      <c r="L30" s="58">
        <f t="shared" si="0"/>
        <v>290460</v>
      </c>
    </row>
    <row r="31" spans="1:12" x14ac:dyDescent="0.25">
      <c r="A31" s="375">
        <v>1</v>
      </c>
      <c r="B31" s="376"/>
      <c r="C31" s="375">
        <v>5</v>
      </c>
      <c r="D31" s="376"/>
      <c r="E31" s="381" t="s">
        <v>386</v>
      </c>
      <c r="F31" s="382"/>
      <c r="G31" s="261" t="s">
        <v>26</v>
      </c>
      <c r="H31" s="60">
        <v>1421200</v>
      </c>
      <c r="I31" s="56"/>
      <c r="J31" s="57"/>
      <c r="K31" s="57"/>
      <c r="L31" s="58">
        <f t="shared" si="0"/>
        <v>1421200</v>
      </c>
    </row>
    <row r="32" spans="1:12" x14ac:dyDescent="0.25">
      <c r="A32" s="375">
        <v>1</v>
      </c>
      <c r="B32" s="376"/>
      <c r="C32" s="375">
        <v>4</v>
      </c>
      <c r="D32" s="376"/>
      <c r="E32" s="381" t="s">
        <v>413</v>
      </c>
      <c r="F32" s="382"/>
      <c r="G32" s="261" t="s">
        <v>26</v>
      </c>
      <c r="H32" s="60">
        <v>1028500</v>
      </c>
      <c r="I32" s="56"/>
      <c r="J32" s="57"/>
      <c r="K32" s="57"/>
      <c r="L32" s="58">
        <f t="shared" si="0"/>
        <v>1028500</v>
      </c>
    </row>
    <row r="33" spans="1:12" x14ac:dyDescent="0.25">
      <c r="A33" s="375">
        <v>1</v>
      </c>
      <c r="B33" s="376"/>
      <c r="C33" s="411" t="s">
        <v>77</v>
      </c>
      <c r="D33" s="412"/>
      <c r="E33" s="381" t="s">
        <v>524</v>
      </c>
      <c r="F33" s="382"/>
      <c r="G33" s="261" t="s">
        <v>26</v>
      </c>
      <c r="H33" s="60">
        <v>242200</v>
      </c>
      <c r="I33" s="56"/>
      <c r="J33" s="57"/>
      <c r="K33" s="57"/>
      <c r="L33" s="58">
        <f t="shared" si="0"/>
        <v>242200</v>
      </c>
    </row>
    <row r="34" spans="1:12" x14ac:dyDescent="0.25">
      <c r="A34" s="375">
        <v>1</v>
      </c>
      <c r="B34" s="376"/>
      <c r="C34" s="411" t="s">
        <v>301</v>
      </c>
      <c r="D34" s="412"/>
      <c r="E34" s="381" t="s">
        <v>134</v>
      </c>
      <c r="F34" s="382"/>
      <c r="G34" s="261" t="s">
        <v>26</v>
      </c>
      <c r="H34" s="60">
        <v>317700</v>
      </c>
      <c r="I34" s="56"/>
      <c r="J34" s="57"/>
      <c r="K34" s="57"/>
      <c r="L34" s="58">
        <f t="shared" si="0"/>
        <v>317700</v>
      </c>
    </row>
    <row r="35" spans="1:12" x14ac:dyDescent="0.25">
      <c r="A35" s="375">
        <v>1</v>
      </c>
      <c r="B35" s="376"/>
      <c r="C35" s="375">
        <v>6</v>
      </c>
      <c r="D35" s="376"/>
      <c r="E35" s="381" t="s">
        <v>358</v>
      </c>
      <c r="F35" s="382"/>
      <c r="G35" s="261" t="s">
        <v>26</v>
      </c>
      <c r="H35" s="60">
        <v>1379900</v>
      </c>
      <c r="I35" s="56"/>
      <c r="J35" s="57"/>
      <c r="K35" s="57"/>
      <c r="L35" s="58">
        <f t="shared" si="0"/>
        <v>1379900</v>
      </c>
    </row>
    <row r="36" spans="1:12" x14ac:dyDescent="0.25">
      <c r="A36" s="375">
        <v>1</v>
      </c>
      <c r="B36" s="376"/>
      <c r="C36" s="411" t="s">
        <v>80</v>
      </c>
      <c r="D36" s="412"/>
      <c r="E36" s="381" t="s">
        <v>525</v>
      </c>
      <c r="F36" s="382"/>
      <c r="G36" s="261" t="s">
        <v>26</v>
      </c>
      <c r="H36" s="60">
        <v>1000000</v>
      </c>
      <c r="I36" s="56"/>
      <c r="J36" s="57"/>
      <c r="K36" s="57"/>
      <c r="L36" s="58">
        <f t="shared" si="0"/>
        <v>1000000</v>
      </c>
    </row>
    <row r="37" spans="1:12" x14ac:dyDescent="0.25">
      <c r="A37" s="375">
        <v>1</v>
      </c>
      <c r="B37" s="376"/>
      <c r="C37" s="379" t="s">
        <v>80</v>
      </c>
      <c r="D37" s="380"/>
      <c r="E37" s="381" t="s">
        <v>490</v>
      </c>
      <c r="F37" s="382"/>
      <c r="G37" s="261" t="s">
        <v>26</v>
      </c>
      <c r="H37" s="60">
        <v>407700</v>
      </c>
      <c r="I37" s="56"/>
      <c r="J37" s="57"/>
      <c r="K37" s="57"/>
      <c r="L37" s="58">
        <f t="shared" si="0"/>
        <v>407700</v>
      </c>
    </row>
    <row r="38" spans="1:12" x14ac:dyDescent="0.25">
      <c r="A38" s="375">
        <v>1</v>
      </c>
      <c r="B38" s="376"/>
      <c r="C38" s="379" t="s">
        <v>158</v>
      </c>
      <c r="D38" s="380"/>
      <c r="E38" s="381" t="s">
        <v>402</v>
      </c>
      <c r="F38" s="382"/>
      <c r="G38" s="261" t="s">
        <v>26</v>
      </c>
      <c r="H38" s="60">
        <v>1091100</v>
      </c>
      <c r="I38" s="56"/>
      <c r="J38" s="57"/>
      <c r="K38" s="57"/>
      <c r="L38" s="58">
        <f t="shared" si="0"/>
        <v>1091100</v>
      </c>
    </row>
    <row r="39" spans="1:12" x14ac:dyDescent="0.25">
      <c r="A39" s="375">
        <v>1</v>
      </c>
      <c r="B39" s="376"/>
      <c r="C39" s="322">
        <v>5</v>
      </c>
      <c r="D39" s="324"/>
      <c r="E39" s="392" t="s">
        <v>392</v>
      </c>
      <c r="F39" s="393"/>
      <c r="G39" s="261" t="s">
        <v>26</v>
      </c>
      <c r="H39" s="60">
        <v>588800</v>
      </c>
      <c r="I39" s="56"/>
      <c r="J39" s="57"/>
      <c r="K39" s="57"/>
      <c r="L39" s="58">
        <f t="shared" si="0"/>
        <v>588800</v>
      </c>
    </row>
    <row r="40" spans="1:12" x14ac:dyDescent="0.25">
      <c r="A40" s="375">
        <v>1</v>
      </c>
      <c r="B40" s="376"/>
      <c r="C40" s="322">
        <v>11</v>
      </c>
      <c r="D40" s="324"/>
      <c r="E40" s="392" t="s">
        <v>194</v>
      </c>
      <c r="F40" s="393"/>
      <c r="G40" s="261" t="s">
        <v>26</v>
      </c>
      <c r="H40" s="60">
        <v>728700</v>
      </c>
      <c r="I40" s="56"/>
      <c r="J40" s="57"/>
      <c r="K40" s="57"/>
      <c r="L40" s="58">
        <f t="shared" si="0"/>
        <v>728700</v>
      </c>
    </row>
    <row r="41" spans="1:12" x14ac:dyDescent="0.25">
      <c r="A41" s="375">
        <v>1</v>
      </c>
      <c r="B41" s="376"/>
      <c r="C41" s="322">
        <v>1</v>
      </c>
      <c r="D41" s="324"/>
      <c r="E41" s="392" t="s">
        <v>528</v>
      </c>
      <c r="F41" s="393"/>
      <c r="G41" s="261" t="s">
        <v>26</v>
      </c>
      <c r="H41" s="60">
        <v>353500</v>
      </c>
      <c r="I41" s="56"/>
      <c r="J41" s="57"/>
      <c r="K41" s="57"/>
      <c r="L41" s="58">
        <f t="shared" si="0"/>
        <v>353500</v>
      </c>
    </row>
    <row r="42" spans="1:12" x14ac:dyDescent="0.25">
      <c r="A42" s="390">
        <v>46171</v>
      </c>
      <c r="B42" s="391"/>
      <c r="C42" s="322">
        <v>1</v>
      </c>
      <c r="D42" s="324"/>
      <c r="E42" s="392" t="s">
        <v>64</v>
      </c>
      <c r="F42" s="393"/>
      <c r="G42" s="261" t="s">
        <v>26</v>
      </c>
      <c r="H42" s="60">
        <v>30049867</v>
      </c>
      <c r="I42" s="56"/>
      <c r="J42" s="57"/>
      <c r="K42" s="57"/>
      <c r="L42" s="58">
        <f t="shared" si="0"/>
        <v>30049867</v>
      </c>
    </row>
    <row r="43" spans="1:12" x14ac:dyDescent="0.25">
      <c r="A43" s="322"/>
      <c r="B43" s="324"/>
      <c r="C43" s="61" t="s">
        <v>45</v>
      </c>
      <c r="D43" s="62"/>
      <c r="E43" s="62"/>
      <c r="F43" s="62"/>
      <c r="G43" s="62"/>
      <c r="H43" s="63">
        <f>SUM(H15:H42)</f>
        <v>50409000</v>
      </c>
      <c r="I43" s="334"/>
      <c r="J43" s="335"/>
      <c r="K43" s="336"/>
      <c r="L43" s="63">
        <f>SUM(L15:L42)</f>
        <v>50409000</v>
      </c>
    </row>
    <row r="44" spans="1:12" x14ac:dyDescent="0.25">
      <c r="A44" s="64"/>
      <c r="B44" s="38"/>
      <c r="C44" s="29"/>
      <c r="D44" s="30"/>
      <c r="E44" s="30"/>
      <c r="F44" s="30"/>
      <c r="G44" s="30"/>
      <c r="H44" s="31"/>
      <c r="I44" s="31"/>
      <c r="J44" s="31"/>
      <c r="K44" s="31"/>
      <c r="L44" s="32"/>
    </row>
    <row r="45" spans="1:12" x14ac:dyDescent="0.25">
      <c r="A45" s="48" t="s">
        <v>46</v>
      </c>
      <c r="B45" s="38"/>
      <c r="C45" s="29"/>
      <c r="D45" s="30"/>
      <c r="E45" s="30"/>
      <c r="F45" s="30"/>
      <c r="G45" s="30"/>
      <c r="H45" s="31"/>
      <c r="I45" s="31"/>
      <c r="J45" s="31"/>
      <c r="K45" s="31"/>
      <c r="L45" s="32"/>
    </row>
    <row r="46" spans="1:12" x14ac:dyDescent="0.25">
      <c r="A46" s="48"/>
      <c r="B46" s="30"/>
      <c r="C46" s="30"/>
      <c r="D46" s="30"/>
      <c r="E46" s="30"/>
      <c r="F46" s="30"/>
      <c r="G46" s="30"/>
      <c r="H46" s="31"/>
      <c r="I46" s="31"/>
      <c r="J46" s="31"/>
      <c r="K46" s="31"/>
      <c r="L46" s="32"/>
    </row>
    <row r="47" spans="1:12" x14ac:dyDescent="0.25">
      <c r="A47" s="357" t="s">
        <v>47</v>
      </c>
      <c r="B47" s="358"/>
      <c r="C47" s="363" t="s">
        <v>48</v>
      </c>
      <c r="D47" s="364"/>
      <c r="E47" s="357" t="s">
        <v>49</v>
      </c>
      <c r="F47" s="369"/>
      <c r="G47" s="369"/>
      <c r="H47" s="369"/>
      <c r="I47" s="369"/>
      <c r="J47" s="369"/>
      <c r="K47" s="358"/>
      <c r="L47" s="372" t="s">
        <v>50</v>
      </c>
    </row>
    <row r="48" spans="1:12" x14ac:dyDescent="0.25">
      <c r="A48" s="359"/>
      <c r="B48" s="360"/>
      <c r="C48" s="365"/>
      <c r="D48" s="366"/>
      <c r="E48" s="359"/>
      <c r="F48" s="370"/>
      <c r="G48" s="370"/>
      <c r="H48" s="370"/>
      <c r="I48" s="370"/>
      <c r="J48" s="370"/>
      <c r="K48" s="360"/>
      <c r="L48" s="373"/>
    </row>
    <row r="49" spans="1:13" x14ac:dyDescent="0.25">
      <c r="A49" s="361"/>
      <c r="B49" s="362"/>
      <c r="C49" s="367"/>
      <c r="D49" s="368"/>
      <c r="E49" s="361"/>
      <c r="F49" s="371"/>
      <c r="G49" s="371"/>
      <c r="H49" s="371"/>
      <c r="I49" s="371"/>
      <c r="J49" s="371"/>
      <c r="K49" s="362"/>
      <c r="L49" s="374"/>
    </row>
    <row r="50" spans="1:13" x14ac:dyDescent="0.25">
      <c r="A50" s="352">
        <v>46135</v>
      </c>
      <c r="B50" s="353"/>
      <c r="C50" s="322">
        <v>45</v>
      </c>
      <c r="D50" s="324"/>
      <c r="E50" s="354" t="s">
        <v>509</v>
      </c>
      <c r="F50" s="355"/>
      <c r="G50" s="355"/>
      <c r="H50" s="355"/>
      <c r="I50" s="355"/>
      <c r="J50" s="355"/>
      <c r="K50" s="356"/>
      <c r="L50" s="55">
        <v>8690000</v>
      </c>
    </row>
    <row r="51" spans="1:13" x14ac:dyDescent="0.25">
      <c r="A51" s="352">
        <v>46135</v>
      </c>
      <c r="B51" s="353"/>
      <c r="C51" s="322">
        <v>47</v>
      </c>
      <c r="D51" s="324"/>
      <c r="E51" s="354" t="s">
        <v>510</v>
      </c>
      <c r="F51" s="355"/>
      <c r="G51" s="355"/>
      <c r="H51" s="355"/>
      <c r="I51" s="355"/>
      <c r="J51" s="355"/>
      <c r="K51" s="356"/>
      <c r="L51" s="55">
        <v>2940000</v>
      </c>
    </row>
    <row r="52" spans="1:13" x14ac:dyDescent="0.25">
      <c r="A52" s="352">
        <v>46137</v>
      </c>
      <c r="B52" s="353"/>
      <c r="C52" s="322">
        <v>51</v>
      </c>
      <c r="D52" s="324"/>
      <c r="E52" s="354" t="s">
        <v>511</v>
      </c>
      <c r="F52" s="355"/>
      <c r="G52" s="355"/>
      <c r="H52" s="355"/>
      <c r="I52" s="355"/>
      <c r="J52" s="355"/>
      <c r="K52" s="356"/>
      <c r="L52" s="55">
        <v>2340000</v>
      </c>
    </row>
    <row r="53" spans="1:13" x14ac:dyDescent="0.25">
      <c r="A53" s="352">
        <v>46142</v>
      </c>
      <c r="B53" s="353"/>
      <c r="C53" s="322">
        <v>62</v>
      </c>
      <c r="D53" s="324"/>
      <c r="E53" s="354" t="s">
        <v>512</v>
      </c>
      <c r="F53" s="355"/>
      <c r="G53" s="355"/>
      <c r="H53" s="355"/>
      <c r="I53" s="355"/>
      <c r="J53" s="355"/>
      <c r="K53" s="356"/>
      <c r="L53" s="55">
        <v>5900000</v>
      </c>
    </row>
    <row r="54" spans="1:13" x14ac:dyDescent="0.25">
      <c r="A54" s="352">
        <v>46142</v>
      </c>
      <c r="B54" s="353"/>
      <c r="C54" s="322">
        <v>65</v>
      </c>
      <c r="D54" s="324"/>
      <c r="E54" s="354" t="s">
        <v>513</v>
      </c>
      <c r="F54" s="355"/>
      <c r="G54" s="355"/>
      <c r="H54" s="355"/>
      <c r="I54" s="355"/>
      <c r="J54" s="355"/>
      <c r="K54" s="356"/>
      <c r="L54" s="55">
        <v>2940000</v>
      </c>
    </row>
    <row r="55" spans="1:13" x14ac:dyDescent="0.25">
      <c r="A55" s="352">
        <v>46147</v>
      </c>
      <c r="B55" s="353"/>
      <c r="C55" s="322">
        <v>72</v>
      </c>
      <c r="D55" s="324"/>
      <c r="E55" s="354" t="s">
        <v>514</v>
      </c>
      <c r="F55" s="355"/>
      <c r="G55" s="355"/>
      <c r="H55" s="355"/>
      <c r="I55" s="355"/>
      <c r="J55" s="355"/>
      <c r="K55" s="356"/>
      <c r="L55" s="55">
        <v>5940000</v>
      </c>
    </row>
    <row r="56" spans="1:13" x14ac:dyDescent="0.25">
      <c r="A56" s="352">
        <v>46147</v>
      </c>
      <c r="B56" s="353"/>
      <c r="C56" s="322">
        <v>73</v>
      </c>
      <c r="D56" s="324"/>
      <c r="E56" s="354" t="s">
        <v>515</v>
      </c>
      <c r="F56" s="355"/>
      <c r="G56" s="355"/>
      <c r="H56" s="355"/>
      <c r="I56" s="355"/>
      <c r="J56" s="355"/>
      <c r="K56" s="356"/>
      <c r="L56" s="55">
        <v>3900000</v>
      </c>
    </row>
    <row r="57" spans="1:13" x14ac:dyDescent="0.25">
      <c r="A57" s="352">
        <v>46149</v>
      </c>
      <c r="B57" s="353"/>
      <c r="C57" s="322">
        <v>78</v>
      </c>
      <c r="D57" s="324"/>
      <c r="E57" s="354" t="s">
        <v>516</v>
      </c>
      <c r="F57" s="355"/>
      <c r="G57" s="355"/>
      <c r="H57" s="355"/>
      <c r="I57" s="355"/>
      <c r="J57" s="355"/>
      <c r="K57" s="356"/>
      <c r="L57" s="55">
        <v>5940000</v>
      </c>
    </row>
    <row r="58" spans="1:13" s="33" customFormat="1" x14ac:dyDescent="0.25">
      <c r="A58" s="352">
        <v>46150</v>
      </c>
      <c r="B58" s="353"/>
      <c r="C58" s="322">
        <v>80</v>
      </c>
      <c r="D58" s="324"/>
      <c r="E58" s="354" t="s">
        <v>517</v>
      </c>
      <c r="F58" s="355"/>
      <c r="G58" s="355"/>
      <c r="H58" s="355"/>
      <c r="I58" s="355"/>
      <c r="J58" s="355"/>
      <c r="K58" s="356"/>
      <c r="L58" s="55">
        <v>1769000</v>
      </c>
    </row>
    <row r="59" spans="1:13" x14ac:dyDescent="0.25">
      <c r="A59" s="352">
        <v>46153</v>
      </c>
      <c r="B59" s="353"/>
      <c r="C59" s="322">
        <v>86</v>
      </c>
      <c r="D59" s="324"/>
      <c r="E59" s="354" t="s">
        <v>518</v>
      </c>
      <c r="F59" s="355"/>
      <c r="G59" s="355"/>
      <c r="H59" s="355"/>
      <c r="I59" s="355"/>
      <c r="J59" s="355"/>
      <c r="K59" s="356"/>
      <c r="L59" s="55">
        <v>9870000</v>
      </c>
      <c r="M59" s="33"/>
    </row>
    <row r="60" spans="1:13" x14ac:dyDescent="0.25">
      <c r="A60" s="352">
        <v>46164</v>
      </c>
      <c r="B60" s="353"/>
      <c r="C60" s="322" t="s">
        <v>100</v>
      </c>
      <c r="D60" s="324"/>
      <c r="E60" s="354" t="s">
        <v>521</v>
      </c>
      <c r="F60" s="355"/>
      <c r="G60" s="355"/>
      <c r="H60" s="355"/>
      <c r="I60" s="355"/>
      <c r="J60" s="355"/>
      <c r="K60" s="356"/>
      <c r="L60" s="55">
        <v>180000</v>
      </c>
      <c r="M60" s="33"/>
    </row>
    <row r="61" spans="1:13" x14ac:dyDescent="0.25">
      <c r="A61" s="334" t="s">
        <v>51</v>
      </c>
      <c r="B61" s="335"/>
      <c r="C61" s="335"/>
      <c r="D61" s="335"/>
      <c r="E61" s="335"/>
      <c r="F61" s="335"/>
      <c r="G61" s="335"/>
      <c r="H61" s="335"/>
      <c r="I61" s="335"/>
      <c r="J61" s="335"/>
      <c r="K61" s="336"/>
      <c r="L61" s="63">
        <f>SUM(L50:L60)</f>
        <v>50409000</v>
      </c>
    </row>
    <row r="62" spans="1:13" x14ac:dyDescent="0.25">
      <c r="A62" s="65"/>
      <c r="B62" s="66"/>
      <c r="C62" s="66"/>
      <c r="D62" s="66"/>
      <c r="E62" s="66"/>
      <c r="F62" s="66"/>
      <c r="G62" s="66"/>
      <c r="H62" s="31"/>
      <c r="I62" s="31"/>
      <c r="J62" s="31"/>
      <c r="K62" s="31"/>
      <c r="L62" s="31"/>
    </row>
    <row r="63" spans="1:13" x14ac:dyDescent="0.25">
      <c r="A63" s="48" t="s">
        <v>52</v>
      </c>
      <c r="B63" s="30"/>
      <c r="C63" s="30"/>
      <c r="D63" s="30"/>
      <c r="E63" s="30"/>
      <c r="F63" s="30"/>
      <c r="G63" s="30"/>
      <c r="H63" s="31"/>
      <c r="I63" s="31"/>
      <c r="J63" s="31"/>
      <c r="K63" s="31"/>
      <c r="L63" s="31"/>
    </row>
    <row r="64" spans="1:13" x14ac:dyDescent="0.25">
      <c r="A64" s="44"/>
      <c r="B64" s="45"/>
      <c r="C64" s="45"/>
      <c r="D64" s="45"/>
      <c r="E64" s="45"/>
      <c r="F64" s="45"/>
      <c r="G64" s="45"/>
      <c r="H64" s="31"/>
      <c r="I64" s="31"/>
      <c r="J64" s="46"/>
      <c r="K64" s="46"/>
      <c r="L64" s="31"/>
    </row>
    <row r="65" spans="1:13" x14ac:dyDescent="0.25">
      <c r="A65" s="337" t="s">
        <v>53</v>
      </c>
      <c r="B65" s="338"/>
      <c r="C65" s="337" t="s">
        <v>54</v>
      </c>
      <c r="D65" s="338"/>
      <c r="E65" s="258" t="s">
        <v>55</v>
      </c>
      <c r="F65" s="68" t="s">
        <v>37</v>
      </c>
      <c r="G65" s="339"/>
      <c r="H65" s="340"/>
      <c r="I65" s="340"/>
      <c r="J65" s="340"/>
      <c r="K65" s="341"/>
      <c r="L65" s="348" t="s">
        <v>56</v>
      </c>
    </row>
    <row r="66" spans="1:13" x14ac:dyDescent="0.25">
      <c r="A66" s="316"/>
      <c r="B66" s="317"/>
      <c r="C66" s="350" t="s">
        <v>57</v>
      </c>
      <c r="D66" s="351"/>
      <c r="E66" s="69"/>
      <c r="F66" s="44"/>
      <c r="G66" s="342"/>
      <c r="H66" s="343"/>
      <c r="I66" s="343"/>
      <c r="J66" s="343"/>
      <c r="K66" s="344"/>
      <c r="L66" s="349"/>
    </row>
    <row r="67" spans="1:13" x14ac:dyDescent="0.25">
      <c r="A67" s="310"/>
      <c r="B67" s="312"/>
      <c r="C67" s="310"/>
      <c r="D67" s="312"/>
      <c r="E67" s="70"/>
      <c r="F67" s="260"/>
      <c r="G67" s="342"/>
      <c r="H67" s="343"/>
      <c r="I67" s="343"/>
      <c r="J67" s="343"/>
      <c r="K67" s="344"/>
      <c r="L67" s="55"/>
    </row>
    <row r="68" spans="1:13" x14ac:dyDescent="0.25">
      <c r="A68" s="310"/>
      <c r="B68" s="312"/>
      <c r="C68" s="310"/>
      <c r="D68" s="312"/>
      <c r="E68" s="70"/>
      <c r="F68" s="64"/>
      <c r="G68" s="345"/>
      <c r="H68" s="346"/>
      <c r="I68" s="346"/>
      <c r="J68" s="346"/>
      <c r="K68" s="347"/>
      <c r="L68" s="72"/>
    </row>
    <row r="69" spans="1:13" x14ac:dyDescent="0.25">
      <c r="A69" s="322" t="s">
        <v>41</v>
      </c>
      <c r="B69" s="323"/>
      <c r="C69" s="323"/>
      <c r="D69" s="323"/>
      <c r="E69" s="323"/>
      <c r="F69" s="323"/>
      <c r="G69" s="323"/>
      <c r="H69" s="323"/>
      <c r="I69" s="323"/>
      <c r="J69" s="323"/>
      <c r="K69" s="324"/>
      <c r="L69" s="73">
        <f>SUM(L67:L68)</f>
        <v>0</v>
      </c>
    </row>
    <row r="70" spans="1:13" x14ac:dyDescent="0.25">
      <c r="A70" s="325"/>
      <c r="B70" s="326"/>
      <c r="C70" s="326"/>
      <c r="D70" s="326"/>
      <c r="E70" s="326"/>
      <c r="F70" s="326"/>
      <c r="G70" s="326"/>
      <c r="H70" s="326"/>
      <c r="I70" s="326"/>
      <c r="J70" s="326"/>
      <c r="K70" s="326"/>
      <c r="L70" s="326"/>
    </row>
    <row r="71" spans="1:13" x14ac:dyDescent="0.25">
      <c r="A71" s="327" t="s">
        <v>58</v>
      </c>
      <c r="B71" s="328"/>
      <c r="C71" s="328"/>
      <c r="D71" s="328"/>
      <c r="E71" s="328"/>
      <c r="F71" s="328"/>
      <c r="G71" s="328"/>
      <c r="H71" s="328"/>
      <c r="I71" s="328"/>
      <c r="J71" s="329"/>
      <c r="K71" s="330">
        <f>K9+L43-L61-L69</f>
        <v>0</v>
      </c>
      <c r="L71" s="330"/>
    </row>
    <row r="72" spans="1:13" x14ac:dyDescent="0.25">
      <c r="A72" s="331"/>
      <c r="B72" s="332"/>
      <c r="C72" s="332"/>
      <c r="D72" s="332"/>
      <c r="E72" s="332"/>
      <c r="F72" s="332"/>
      <c r="G72" s="332"/>
      <c r="H72" s="332"/>
      <c r="I72" s="332"/>
      <c r="J72" s="332"/>
      <c r="K72" s="332"/>
      <c r="L72" s="333"/>
    </row>
    <row r="73" spans="1:13" x14ac:dyDescent="0.25">
      <c r="A73" s="305" t="s">
        <v>59</v>
      </c>
      <c r="B73" s="305"/>
      <c r="C73" s="305"/>
      <c r="D73" s="305"/>
      <c r="E73" s="305"/>
      <c r="F73" s="305" t="s">
        <v>60</v>
      </c>
      <c r="G73" s="305"/>
      <c r="H73" s="305"/>
      <c r="I73" s="306"/>
      <c r="J73" s="309" t="s">
        <v>61</v>
      </c>
      <c r="K73" s="309"/>
      <c r="L73" s="309"/>
    </row>
    <row r="74" spans="1:13" x14ac:dyDescent="0.25">
      <c r="A74" s="310"/>
      <c r="B74" s="311"/>
      <c r="C74" s="311"/>
      <c r="D74" s="311"/>
      <c r="E74" s="312"/>
      <c r="F74" s="310"/>
      <c r="G74" s="311"/>
      <c r="H74" s="312"/>
      <c r="I74" s="307"/>
      <c r="J74" s="313"/>
      <c r="K74" s="314"/>
      <c r="L74" s="315"/>
      <c r="M74" s="74"/>
    </row>
    <row r="75" spans="1:13" x14ac:dyDescent="0.25">
      <c r="A75" s="316"/>
      <c r="B75" s="317"/>
      <c r="C75" s="317"/>
      <c r="D75" s="317"/>
      <c r="E75" s="318"/>
      <c r="F75" s="316"/>
      <c r="G75" s="317"/>
      <c r="H75" s="318"/>
      <c r="I75" s="308"/>
      <c r="J75" s="319"/>
      <c r="K75" s="320"/>
      <c r="L75" s="321"/>
    </row>
    <row r="76" spans="1:13" x14ac:dyDescent="0.25">
      <c r="A76" s="33"/>
      <c r="B76" s="33"/>
      <c r="C76" s="33"/>
      <c r="D76" s="33"/>
      <c r="E76" s="33"/>
      <c r="F76" s="33"/>
      <c r="G76" s="33"/>
      <c r="H76" s="75"/>
      <c r="I76" s="75"/>
      <c r="J76" s="75"/>
      <c r="K76" s="75"/>
      <c r="L76" s="75"/>
    </row>
  </sheetData>
  <mergeCells count="161">
    <mergeCell ref="A73:E73"/>
    <mergeCell ref="F73:H73"/>
    <mergeCell ref="I73:I75"/>
    <mergeCell ref="J73:L73"/>
    <mergeCell ref="A74:E74"/>
    <mergeCell ref="F74:H74"/>
    <mergeCell ref="J74:L74"/>
    <mergeCell ref="A75:E75"/>
    <mergeCell ref="F75:H75"/>
    <mergeCell ref="J75:L75"/>
    <mergeCell ref="C68:D68"/>
    <mergeCell ref="A69:K69"/>
    <mergeCell ref="A70:L70"/>
    <mergeCell ref="A71:J71"/>
    <mergeCell ref="K71:L71"/>
    <mergeCell ref="A72:L72"/>
    <mergeCell ref="A61:K61"/>
    <mergeCell ref="A65:B65"/>
    <mergeCell ref="C65:D65"/>
    <mergeCell ref="G65:K68"/>
    <mergeCell ref="L65:L66"/>
    <mergeCell ref="A66:B66"/>
    <mergeCell ref="C66:D66"/>
    <mergeCell ref="A67:B67"/>
    <mergeCell ref="C67:D67"/>
    <mergeCell ref="A68:B68"/>
    <mergeCell ref="L47:L49"/>
    <mergeCell ref="A53:B53"/>
    <mergeCell ref="C53:D53"/>
    <mergeCell ref="E53:K53"/>
    <mergeCell ref="A54:B54"/>
    <mergeCell ref="C54:D54"/>
    <mergeCell ref="E54:K54"/>
    <mergeCell ref="A50:B50"/>
    <mergeCell ref="C50:D50"/>
    <mergeCell ref="E50:K50"/>
    <mergeCell ref="A51:B51"/>
    <mergeCell ref="C51:D51"/>
    <mergeCell ref="E51:K51"/>
    <mergeCell ref="A41:B41"/>
    <mergeCell ref="C41:D41"/>
    <mergeCell ref="E41:F41"/>
    <mergeCell ref="A42:B42"/>
    <mergeCell ref="C42:D42"/>
    <mergeCell ref="E42:F42"/>
    <mergeCell ref="A43:B43"/>
    <mergeCell ref="I43:K43"/>
    <mergeCell ref="A47:B49"/>
    <mergeCell ref="C47:D49"/>
    <mergeCell ref="E47:K49"/>
    <mergeCell ref="A39:B39"/>
    <mergeCell ref="C39:D39"/>
    <mergeCell ref="E39:F39"/>
    <mergeCell ref="A40:B40"/>
    <mergeCell ref="C40:D40"/>
    <mergeCell ref="E40:F40"/>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 ref="A60:B60"/>
    <mergeCell ref="C60:D60"/>
    <mergeCell ref="E60:K60"/>
    <mergeCell ref="A57:B57"/>
    <mergeCell ref="C57:D57"/>
    <mergeCell ref="E57:K57"/>
    <mergeCell ref="A52:B52"/>
    <mergeCell ref="C52:D52"/>
    <mergeCell ref="E52:K52"/>
    <mergeCell ref="A58:B58"/>
    <mergeCell ref="C58:D58"/>
    <mergeCell ref="E58:K58"/>
    <mergeCell ref="A59:B59"/>
    <mergeCell ref="C59:D59"/>
    <mergeCell ref="E59:K59"/>
    <mergeCell ref="A55:B55"/>
    <mergeCell ref="C55:D55"/>
    <mergeCell ref="E55:K55"/>
    <mergeCell ref="A56:B56"/>
    <mergeCell ref="C56:D56"/>
    <mergeCell ref="E56:K5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
  <sheetViews>
    <sheetView topLeftCell="A35" workbookViewId="0">
      <selection activeCell="H42" sqref="H42"/>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t="s">
        <v>535</v>
      </c>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66" t="s">
        <v>27</v>
      </c>
      <c r="B6" s="271" t="s">
        <v>28</v>
      </c>
      <c r="C6" s="271" t="s">
        <v>29</v>
      </c>
      <c r="D6" s="30"/>
      <c r="E6" s="30"/>
      <c r="F6" s="30"/>
      <c r="G6" s="30"/>
      <c r="H6" s="31"/>
      <c r="I6" s="31"/>
      <c r="J6" s="31"/>
      <c r="K6" s="31"/>
      <c r="L6" s="32"/>
    </row>
    <row r="7" spans="1:12" x14ac:dyDescent="0.25">
      <c r="A7" s="41" t="s">
        <v>215</v>
      </c>
      <c r="B7" s="42" t="s">
        <v>141</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69" t="s">
        <v>40</v>
      </c>
      <c r="K13" s="269" t="s">
        <v>40</v>
      </c>
      <c r="L13" s="269" t="s">
        <v>41</v>
      </c>
    </row>
    <row r="14" spans="1:12" x14ac:dyDescent="0.25">
      <c r="A14" s="396"/>
      <c r="B14" s="397"/>
      <c r="C14" s="396"/>
      <c r="D14" s="397"/>
      <c r="E14" s="361"/>
      <c r="F14" s="362"/>
      <c r="G14" s="399"/>
      <c r="H14" s="399"/>
      <c r="I14" s="399"/>
      <c r="J14" s="270" t="s">
        <v>42</v>
      </c>
      <c r="K14" s="270" t="s">
        <v>43</v>
      </c>
      <c r="L14" s="270" t="s">
        <v>44</v>
      </c>
    </row>
    <row r="15" spans="1:12" x14ac:dyDescent="0.25">
      <c r="A15" s="385">
        <v>1</v>
      </c>
      <c r="B15" s="384"/>
      <c r="C15" s="386" t="s">
        <v>206</v>
      </c>
      <c r="D15" s="386"/>
      <c r="E15" s="383" t="s">
        <v>384</v>
      </c>
      <c r="F15" s="383"/>
      <c r="G15" s="59" t="s">
        <v>26</v>
      </c>
      <c r="H15" s="55">
        <v>841000</v>
      </c>
      <c r="I15" s="56"/>
      <c r="J15" s="57"/>
      <c r="K15" s="57"/>
      <c r="L15" s="58">
        <f t="shared" ref="L15:L42" si="0">H15</f>
        <v>841000</v>
      </c>
    </row>
    <row r="16" spans="1:12" x14ac:dyDescent="0.25">
      <c r="A16" s="385">
        <v>1</v>
      </c>
      <c r="B16" s="384"/>
      <c r="C16" s="386" t="s">
        <v>77</v>
      </c>
      <c r="D16" s="386"/>
      <c r="E16" s="383" t="s">
        <v>554</v>
      </c>
      <c r="F16" s="383"/>
      <c r="G16" s="59" t="s">
        <v>26</v>
      </c>
      <c r="H16" s="55">
        <v>304200</v>
      </c>
      <c r="I16" s="56"/>
      <c r="J16" s="57"/>
      <c r="K16" s="57"/>
      <c r="L16" s="58">
        <f t="shared" si="0"/>
        <v>304200</v>
      </c>
    </row>
    <row r="17" spans="1:12" x14ac:dyDescent="0.25">
      <c r="A17" s="387" t="s">
        <v>77</v>
      </c>
      <c r="B17" s="386"/>
      <c r="C17" s="386" t="s">
        <v>206</v>
      </c>
      <c r="D17" s="386"/>
      <c r="E17" s="388" t="s">
        <v>359</v>
      </c>
      <c r="F17" s="389"/>
      <c r="G17" s="268" t="s">
        <v>26</v>
      </c>
      <c r="H17" s="60">
        <v>365300</v>
      </c>
      <c r="I17" s="56"/>
      <c r="J17" s="57"/>
      <c r="K17" s="57"/>
      <c r="L17" s="58">
        <f t="shared" si="0"/>
        <v>365300</v>
      </c>
    </row>
    <row r="18" spans="1:12" x14ac:dyDescent="0.25">
      <c r="A18" s="387" t="s">
        <v>77</v>
      </c>
      <c r="B18" s="386"/>
      <c r="C18" s="384">
        <v>9</v>
      </c>
      <c r="D18" s="384"/>
      <c r="E18" s="388" t="s">
        <v>222</v>
      </c>
      <c r="F18" s="389"/>
      <c r="G18" s="268" t="s">
        <v>26</v>
      </c>
      <c r="H18" s="55">
        <v>669933</v>
      </c>
      <c r="I18" s="56"/>
      <c r="J18" s="57"/>
      <c r="K18" s="57"/>
      <c r="L18" s="58">
        <f t="shared" si="0"/>
        <v>669933</v>
      </c>
    </row>
    <row r="19" spans="1:12" x14ac:dyDescent="0.25">
      <c r="A19" s="387" t="s">
        <v>77</v>
      </c>
      <c r="B19" s="386"/>
      <c r="C19" s="384">
        <v>5</v>
      </c>
      <c r="D19" s="384"/>
      <c r="E19" s="388" t="s">
        <v>404</v>
      </c>
      <c r="F19" s="389"/>
      <c r="G19" s="268" t="s">
        <v>26</v>
      </c>
      <c r="H19" s="55">
        <v>488500</v>
      </c>
      <c r="I19" s="56"/>
      <c r="J19" s="57"/>
      <c r="K19" s="57"/>
      <c r="L19" s="58">
        <f t="shared" si="0"/>
        <v>488500</v>
      </c>
    </row>
    <row r="20" spans="1:12" x14ac:dyDescent="0.25">
      <c r="A20" s="387" t="s">
        <v>77</v>
      </c>
      <c r="B20" s="386"/>
      <c r="C20" s="379" t="s">
        <v>77</v>
      </c>
      <c r="D20" s="380"/>
      <c r="E20" s="392" t="s">
        <v>555</v>
      </c>
      <c r="F20" s="393"/>
      <c r="G20" s="268" t="s">
        <v>26</v>
      </c>
      <c r="H20" s="55">
        <v>1107200</v>
      </c>
      <c r="I20" s="56"/>
      <c r="J20" s="57"/>
      <c r="K20" s="57"/>
      <c r="L20" s="58">
        <f t="shared" si="0"/>
        <v>1107200</v>
      </c>
    </row>
    <row r="21" spans="1:12" x14ac:dyDescent="0.25">
      <c r="A21" s="385">
        <v>1</v>
      </c>
      <c r="B21" s="384"/>
      <c r="C21" s="386" t="s">
        <v>78</v>
      </c>
      <c r="D21" s="386"/>
      <c r="E21" s="383" t="s">
        <v>106</v>
      </c>
      <c r="F21" s="383"/>
      <c r="G21" s="59" t="s">
        <v>26</v>
      </c>
      <c r="H21" s="55">
        <v>418100</v>
      </c>
      <c r="I21" s="56"/>
      <c r="J21" s="57"/>
      <c r="K21" s="57"/>
      <c r="L21" s="58">
        <f t="shared" si="0"/>
        <v>418100</v>
      </c>
    </row>
    <row r="22" spans="1:12" x14ac:dyDescent="0.25">
      <c r="A22" s="375">
        <v>1</v>
      </c>
      <c r="B22" s="376"/>
      <c r="C22" s="322">
        <v>2</v>
      </c>
      <c r="D22" s="324"/>
      <c r="E22" s="383" t="s">
        <v>496</v>
      </c>
      <c r="F22" s="383"/>
      <c r="G22" s="59" t="s">
        <v>26</v>
      </c>
      <c r="H22" s="55">
        <v>659900</v>
      </c>
      <c r="I22" s="56"/>
      <c r="J22" s="57"/>
      <c r="K22" s="57"/>
      <c r="L22" s="58">
        <f t="shared" si="0"/>
        <v>659900</v>
      </c>
    </row>
    <row r="23" spans="1:12" x14ac:dyDescent="0.25">
      <c r="A23" s="375">
        <v>1</v>
      </c>
      <c r="B23" s="376"/>
      <c r="C23" s="384">
        <v>10</v>
      </c>
      <c r="D23" s="384"/>
      <c r="E23" s="383" t="s">
        <v>227</v>
      </c>
      <c r="F23" s="383"/>
      <c r="G23" s="59" t="s">
        <v>26</v>
      </c>
      <c r="H23" s="55">
        <v>578500</v>
      </c>
      <c r="I23" s="56"/>
      <c r="J23" s="57"/>
      <c r="K23" s="57"/>
      <c r="L23" s="58">
        <f t="shared" si="0"/>
        <v>578500</v>
      </c>
    </row>
    <row r="24" spans="1:12" x14ac:dyDescent="0.25">
      <c r="A24" s="375">
        <v>1</v>
      </c>
      <c r="B24" s="376"/>
      <c r="C24" s="379" t="s">
        <v>206</v>
      </c>
      <c r="D24" s="380"/>
      <c r="E24" s="392" t="s">
        <v>310</v>
      </c>
      <c r="F24" s="393"/>
      <c r="G24" s="59" t="s">
        <v>26</v>
      </c>
      <c r="H24" s="55">
        <v>441300</v>
      </c>
      <c r="I24" s="56"/>
      <c r="J24" s="57"/>
      <c r="K24" s="57"/>
      <c r="L24" s="58">
        <f t="shared" si="0"/>
        <v>441300</v>
      </c>
    </row>
    <row r="25" spans="1:12" x14ac:dyDescent="0.25">
      <c r="A25" s="375">
        <v>1</v>
      </c>
      <c r="B25" s="376"/>
      <c r="C25" s="379" t="s">
        <v>142</v>
      </c>
      <c r="D25" s="380"/>
      <c r="E25" s="381" t="s">
        <v>481</v>
      </c>
      <c r="F25" s="382"/>
      <c r="G25" s="59" t="s">
        <v>26</v>
      </c>
      <c r="H25" s="55">
        <v>1072700</v>
      </c>
      <c r="I25" s="56"/>
      <c r="J25" s="57"/>
      <c r="K25" s="57"/>
      <c r="L25" s="58">
        <f t="shared" si="0"/>
        <v>1072700</v>
      </c>
    </row>
    <row r="26" spans="1:12" x14ac:dyDescent="0.25">
      <c r="A26" s="375">
        <v>1</v>
      </c>
      <c r="B26" s="376"/>
      <c r="C26" s="379" t="s">
        <v>188</v>
      </c>
      <c r="D26" s="380"/>
      <c r="E26" s="381" t="s">
        <v>466</v>
      </c>
      <c r="F26" s="382"/>
      <c r="G26" s="59" t="s">
        <v>26</v>
      </c>
      <c r="H26" s="55">
        <v>861400</v>
      </c>
      <c r="I26" s="56"/>
      <c r="J26" s="57"/>
      <c r="K26" s="57"/>
      <c r="L26" s="58">
        <f t="shared" si="0"/>
        <v>861400</v>
      </c>
    </row>
    <row r="27" spans="1:12" x14ac:dyDescent="0.25">
      <c r="A27" s="375">
        <v>1</v>
      </c>
      <c r="B27" s="376"/>
      <c r="C27" s="322">
        <v>2</v>
      </c>
      <c r="D27" s="324"/>
      <c r="E27" s="381" t="s">
        <v>493</v>
      </c>
      <c r="F27" s="382"/>
      <c r="G27" s="268" t="s">
        <v>26</v>
      </c>
      <c r="H27" s="60">
        <v>645700</v>
      </c>
      <c r="I27" s="56"/>
      <c r="J27" s="57"/>
      <c r="K27" s="57"/>
      <c r="L27" s="58">
        <f t="shared" si="0"/>
        <v>645700</v>
      </c>
    </row>
    <row r="28" spans="1:12" x14ac:dyDescent="0.25">
      <c r="A28" s="375">
        <v>1</v>
      </c>
      <c r="B28" s="376"/>
      <c r="C28" s="322">
        <v>9</v>
      </c>
      <c r="D28" s="324"/>
      <c r="E28" s="383" t="s">
        <v>283</v>
      </c>
      <c r="F28" s="383"/>
      <c r="G28" s="268" t="s">
        <v>26</v>
      </c>
      <c r="H28" s="60">
        <v>1080900</v>
      </c>
      <c r="I28" s="56"/>
      <c r="J28" s="57"/>
      <c r="K28" s="57"/>
      <c r="L28" s="58">
        <f t="shared" si="0"/>
        <v>1080900</v>
      </c>
    </row>
    <row r="29" spans="1:12" x14ac:dyDescent="0.25">
      <c r="A29" s="375">
        <v>1</v>
      </c>
      <c r="B29" s="376"/>
      <c r="C29" s="379" t="s">
        <v>188</v>
      </c>
      <c r="D29" s="380"/>
      <c r="E29" s="377" t="s">
        <v>470</v>
      </c>
      <c r="F29" s="378"/>
      <c r="G29" s="268" t="s">
        <v>26</v>
      </c>
      <c r="H29" s="60">
        <v>1034400</v>
      </c>
      <c r="I29" s="56"/>
      <c r="J29" s="57"/>
      <c r="K29" s="57"/>
      <c r="L29" s="58">
        <f t="shared" si="0"/>
        <v>1034400</v>
      </c>
    </row>
    <row r="30" spans="1:12" x14ac:dyDescent="0.25">
      <c r="A30" s="375">
        <v>1</v>
      </c>
      <c r="B30" s="376"/>
      <c r="C30" s="411" t="s">
        <v>342</v>
      </c>
      <c r="D30" s="412"/>
      <c r="E30" s="381" t="s">
        <v>264</v>
      </c>
      <c r="F30" s="382"/>
      <c r="G30" s="268" t="s">
        <v>26</v>
      </c>
      <c r="H30" s="60">
        <v>1033600</v>
      </c>
      <c r="I30" s="56"/>
      <c r="J30" s="57"/>
      <c r="K30" s="57"/>
      <c r="L30" s="58">
        <f t="shared" si="0"/>
        <v>1033600</v>
      </c>
    </row>
    <row r="31" spans="1:12" x14ac:dyDescent="0.25">
      <c r="A31" s="375">
        <v>1</v>
      </c>
      <c r="B31" s="376"/>
      <c r="C31" s="375">
        <v>2</v>
      </c>
      <c r="D31" s="376"/>
      <c r="E31" s="381" t="s">
        <v>494</v>
      </c>
      <c r="F31" s="382"/>
      <c r="G31" s="268" t="s">
        <v>26</v>
      </c>
      <c r="H31" s="60">
        <v>614700</v>
      </c>
      <c r="I31" s="56"/>
      <c r="J31" s="57"/>
      <c r="K31" s="57"/>
      <c r="L31" s="58">
        <f t="shared" si="0"/>
        <v>614700</v>
      </c>
    </row>
    <row r="32" spans="1:12" x14ac:dyDescent="0.25">
      <c r="A32" s="375">
        <v>1</v>
      </c>
      <c r="B32" s="376"/>
      <c r="C32" s="375">
        <v>6</v>
      </c>
      <c r="D32" s="376"/>
      <c r="E32" s="381" t="s">
        <v>403</v>
      </c>
      <c r="F32" s="382"/>
      <c r="G32" s="268" t="s">
        <v>240</v>
      </c>
      <c r="H32" s="60">
        <v>1360600</v>
      </c>
      <c r="I32" s="56"/>
      <c r="J32" s="57"/>
      <c r="K32" s="57"/>
      <c r="L32" s="58">
        <f t="shared" si="0"/>
        <v>1360600</v>
      </c>
    </row>
    <row r="33" spans="1:12" x14ac:dyDescent="0.25">
      <c r="A33" s="375">
        <v>1</v>
      </c>
      <c r="B33" s="376"/>
      <c r="C33" s="411" t="s">
        <v>80</v>
      </c>
      <c r="D33" s="412"/>
      <c r="E33" s="381" t="s">
        <v>497</v>
      </c>
      <c r="F33" s="382"/>
      <c r="G33" s="268" t="s">
        <v>26</v>
      </c>
      <c r="H33" s="60">
        <v>1971000</v>
      </c>
      <c r="I33" s="56"/>
      <c r="J33" s="57"/>
      <c r="K33" s="57"/>
      <c r="L33" s="58">
        <f t="shared" si="0"/>
        <v>1971000</v>
      </c>
    </row>
    <row r="34" spans="1:12" x14ac:dyDescent="0.25">
      <c r="A34" s="375">
        <v>1</v>
      </c>
      <c r="B34" s="376"/>
      <c r="C34" s="411" t="s">
        <v>273</v>
      </c>
      <c r="D34" s="412"/>
      <c r="E34" s="381" t="s">
        <v>197</v>
      </c>
      <c r="F34" s="382"/>
      <c r="G34" s="268" t="s">
        <v>26</v>
      </c>
      <c r="H34" s="60">
        <v>481700</v>
      </c>
      <c r="I34" s="56"/>
      <c r="J34" s="57"/>
      <c r="K34" s="57"/>
      <c r="L34" s="58">
        <f t="shared" si="0"/>
        <v>481700</v>
      </c>
    </row>
    <row r="35" spans="1:12" x14ac:dyDescent="0.25">
      <c r="A35" s="375">
        <v>1</v>
      </c>
      <c r="B35" s="376"/>
      <c r="C35" s="375">
        <v>3</v>
      </c>
      <c r="D35" s="376"/>
      <c r="E35" s="381" t="s">
        <v>477</v>
      </c>
      <c r="F35" s="382"/>
      <c r="G35" s="268" t="s">
        <v>26</v>
      </c>
      <c r="H35" s="60">
        <v>614700</v>
      </c>
      <c r="I35" s="56"/>
      <c r="J35" s="57"/>
      <c r="K35" s="57"/>
      <c r="L35" s="58">
        <f t="shared" si="0"/>
        <v>614700</v>
      </c>
    </row>
    <row r="36" spans="1:12" x14ac:dyDescent="0.25">
      <c r="A36" s="375">
        <v>1</v>
      </c>
      <c r="B36" s="376"/>
      <c r="C36" s="411" t="s">
        <v>77</v>
      </c>
      <c r="D36" s="412"/>
      <c r="E36" s="381" t="s">
        <v>556</v>
      </c>
      <c r="F36" s="382"/>
      <c r="G36" s="268" t="s">
        <v>26</v>
      </c>
      <c r="H36" s="60">
        <v>468900</v>
      </c>
      <c r="I36" s="56"/>
      <c r="J36" s="57"/>
      <c r="K36" s="57"/>
      <c r="L36" s="58">
        <f t="shared" si="0"/>
        <v>468900</v>
      </c>
    </row>
    <row r="37" spans="1:12" x14ac:dyDescent="0.25">
      <c r="A37" s="375">
        <v>1</v>
      </c>
      <c r="B37" s="376"/>
      <c r="C37" s="379" t="s">
        <v>77</v>
      </c>
      <c r="D37" s="380"/>
      <c r="E37" s="381" t="s">
        <v>557</v>
      </c>
      <c r="F37" s="382"/>
      <c r="G37" s="268" t="s">
        <v>26</v>
      </c>
      <c r="H37" s="60">
        <v>134100</v>
      </c>
      <c r="I37" s="56"/>
      <c r="J37" s="57"/>
      <c r="K37" s="57"/>
      <c r="L37" s="58">
        <f t="shared" si="0"/>
        <v>134100</v>
      </c>
    </row>
    <row r="38" spans="1:12" x14ac:dyDescent="0.25">
      <c r="A38" s="375">
        <v>1</v>
      </c>
      <c r="B38" s="376"/>
      <c r="C38" s="379" t="s">
        <v>80</v>
      </c>
      <c r="D38" s="380"/>
      <c r="E38" s="381" t="s">
        <v>491</v>
      </c>
      <c r="F38" s="382"/>
      <c r="G38" s="268" t="s">
        <v>26</v>
      </c>
      <c r="H38" s="60">
        <v>614700</v>
      </c>
      <c r="I38" s="56"/>
      <c r="J38" s="57"/>
      <c r="K38" s="57"/>
      <c r="L38" s="58">
        <f t="shared" si="0"/>
        <v>614700</v>
      </c>
    </row>
    <row r="39" spans="1:12" x14ac:dyDescent="0.25">
      <c r="A39" s="375">
        <v>1</v>
      </c>
      <c r="B39" s="376"/>
      <c r="C39" s="322">
        <v>11</v>
      </c>
      <c r="D39" s="324"/>
      <c r="E39" s="392" t="s">
        <v>187</v>
      </c>
      <c r="F39" s="393"/>
      <c r="G39" s="268" t="s">
        <v>26</v>
      </c>
      <c r="H39" s="60">
        <v>804500</v>
      </c>
      <c r="I39" s="56"/>
      <c r="J39" s="57"/>
      <c r="K39" s="57"/>
      <c r="L39" s="58">
        <f t="shared" si="0"/>
        <v>804500</v>
      </c>
    </row>
    <row r="40" spans="1:12" x14ac:dyDescent="0.25">
      <c r="A40" s="375">
        <v>1</v>
      </c>
      <c r="B40" s="376"/>
      <c r="C40" s="322">
        <v>2</v>
      </c>
      <c r="D40" s="324"/>
      <c r="E40" s="392" t="s">
        <v>558</v>
      </c>
      <c r="F40" s="393"/>
      <c r="G40" s="268" t="s">
        <v>26</v>
      </c>
      <c r="H40" s="60">
        <v>617200</v>
      </c>
      <c r="I40" s="56"/>
      <c r="J40" s="57"/>
      <c r="K40" s="57"/>
      <c r="L40" s="58">
        <f t="shared" si="0"/>
        <v>617200</v>
      </c>
    </row>
    <row r="41" spans="1:12" x14ac:dyDescent="0.25">
      <c r="A41" s="375">
        <v>6</v>
      </c>
      <c r="B41" s="376"/>
      <c r="C41" s="322" t="s">
        <v>302</v>
      </c>
      <c r="D41" s="324"/>
      <c r="E41" s="392" t="s">
        <v>559</v>
      </c>
      <c r="F41" s="393"/>
      <c r="G41" s="268" t="s">
        <v>26</v>
      </c>
      <c r="H41" s="60">
        <v>3714600</v>
      </c>
      <c r="I41" s="56"/>
      <c r="J41" s="57"/>
      <c r="K41" s="57"/>
      <c r="L41" s="58">
        <f t="shared" si="0"/>
        <v>3714600</v>
      </c>
    </row>
    <row r="42" spans="1:12" x14ac:dyDescent="0.25">
      <c r="A42" s="390">
        <v>46181</v>
      </c>
      <c r="B42" s="391"/>
      <c r="C42" s="322">
        <v>1</v>
      </c>
      <c r="D42" s="324"/>
      <c r="E42" s="392" t="s">
        <v>64</v>
      </c>
      <c r="F42" s="393"/>
      <c r="G42" s="268" t="s">
        <v>26</v>
      </c>
      <c r="H42" s="60">
        <v>35704067</v>
      </c>
      <c r="I42" s="56"/>
      <c r="J42" s="57"/>
      <c r="K42" s="57"/>
      <c r="L42" s="58">
        <f t="shared" si="0"/>
        <v>35704067</v>
      </c>
    </row>
    <row r="43" spans="1:12" x14ac:dyDescent="0.25">
      <c r="A43" s="322"/>
      <c r="B43" s="324"/>
      <c r="C43" s="61" t="s">
        <v>45</v>
      </c>
      <c r="D43" s="62"/>
      <c r="E43" s="62"/>
      <c r="F43" s="62"/>
      <c r="G43" s="62"/>
      <c r="H43" s="63">
        <f>SUM(H15:H42)</f>
        <v>58703400</v>
      </c>
      <c r="I43" s="334"/>
      <c r="J43" s="335"/>
      <c r="K43" s="336"/>
      <c r="L43" s="63">
        <f>SUM(L15:L42)</f>
        <v>58703400</v>
      </c>
    </row>
    <row r="44" spans="1:12" x14ac:dyDescent="0.25">
      <c r="A44" s="64"/>
      <c r="B44" s="38"/>
      <c r="C44" s="29"/>
      <c r="D44" s="30"/>
      <c r="E44" s="30"/>
      <c r="F44" s="30"/>
      <c r="G44" s="30"/>
      <c r="H44" s="31"/>
      <c r="I44" s="31"/>
      <c r="J44" s="31"/>
      <c r="K44" s="31"/>
      <c r="L44" s="32"/>
    </row>
    <row r="45" spans="1:12" x14ac:dyDescent="0.25">
      <c r="A45" s="48" t="s">
        <v>46</v>
      </c>
      <c r="B45" s="38"/>
      <c r="C45" s="29"/>
      <c r="D45" s="30"/>
      <c r="E45" s="30"/>
      <c r="F45" s="30"/>
      <c r="G45" s="30"/>
      <c r="H45" s="31"/>
      <c r="I45" s="31"/>
      <c r="J45" s="31"/>
      <c r="K45" s="31"/>
      <c r="L45" s="32"/>
    </row>
    <row r="46" spans="1:12" x14ac:dyDescent="0.25">
      <c r="A46" s="48"/>
      <c r="B46" s="30"/>
      <c r="C46" s="30"/>
      <c r="D46" s="30"/>
      <c r="E46" s="30"/>
      <c r="F46" s="30"/>
      <c r="G46" s="30"/>
      <c r="H46" s="31"/>
      <c r="I46" s="31"/>
      <c r="J46" s="31"/>
      <c r="K46" s="31"/>
      <c r="L46" s="32"/>
    </row>
    <row r="47" spans="1:12" x14ac:dyDescent="0.25">
      <c r="A47" s="357" t="s">
        <v>47</v>
      </c>
      <c r="B47" s="358"/>
      <c r="C47" s="363" t="s">
        <v>48</v>
      </c>
      <c r="D47" s="364"/>
      <c r="E47" s="357" t="s">
        <v>49</v>
      </c>
      <c r="F47" s="369"/>
      <c r="G47" s="369"/>
      <c r="H47" s="369"/>
      <c r="I47" s="369"/>
      <c r="J47" s="369"/>
      <c r="K47" s="358"/>
      <c r="L47" s="372" t="s">
        <v>50</v>
      </c>
    </row>
    <row r="48" spans="1:12" x14ac:dyDescent="0.25">
      <c r="A48" s="359"/>
      <c r="B48" s="360"/>
      <c r="C48" s="365"/>
      <c r="D48" s="366"/>
      <c r="E48" s="359"/>
      <c r="F48" s="370"/>
      <c r="G48" s="370"/>
      <c r="H48" s="370"/>
      <c r="I48" s="370"/>
      <c r="J48" s="370"/>
      <c r="K48" s="360"/>
      <c r="L48" s="373"/>
    </row>
    <row r="49" spans="1:13" x14ac:dyDescent="0.25">
      <c r="A49" s="361"/>
      <c r="B49" s="362"/>
      <c r="C49" s="367"/>
      <c r="D49" s="368"/>
      <c r="E49" s="361"/>
      <c r="F49" s="371"/>
      <c r="G49" s="371"/>
      <c r="H49" s="371"/>
      <c r="I49" s="371"/>
      <c r="J49" s="371"/>
      <c r="K49" s="362"/>
      <c r="L49" s="374"/>
    </row>
    <row r="50" spans="1:13" x14ac:dyDescent="0.25">
      <c r="A50" s="352">
        <v>46164</v>
      </c>
      <c r="B50" s="353"/>
      <c r="C50" s="322">
        <v>117</v>
      </c>
      <c r="D50" s="324"/>
      <c r="E50" s="354" t="s">
        <v>536</v>
      </c>
      <c r="F50" s="355"/>
      <c r="G50" s="355"/>
      <c r="H50" s="355"/>
      <c r="I50" s="355"/>
      <c r="J50" s="355"/>
      <c r="K50" s="356"/>
      <c r="L50" s="55">
        <v>5492000</v>
      </c>
    </row>
    <row r="51" spans="1:13" x14ac:dyDescent="0.25">
      <c r="A51" s="352">
        <v>46165</v>
      </c>
      <c r="B51" s="353"/>
      <c r="C51" s="322">
        <v>119</v>
      </c>
      <c r="D51" s="324"/>
      <c r="E51" s="354" t="s">
        <v>537</v>
      </c>
      <c r="F51" s="355"/>
      <c r="G51" s="355"/>
      <c r="H51" s="355"/>
      <c r="I51" s="355"/>
      <c r="J51" s="355"/>
      <c r="K51" s="356"/>
      <c r="L51" s="55">
        <v>5525000</v>
      </c>
    </row>
    <row r="52" spans="1:13" x14ac:dyDescent="0.25">
      <c r="A52" s="352">
        <v>46167</v>
      </c>
      <c r="B52" s="353"/>
      <c r="C52" s="322">
        <v>122</v>
      </c>
      <c r="D52" s="324"/>
      <c r="E52" s="354" t="s">
        <v>538</v>
      </c>
      <c r="F52" s="355"/>
      <c r="G52" s="355"/>
      <c r="H52" s="355"/>
      <c r="I52" s="355"/>
      <c r="J52" s="355"/>
      <c r="K52" s="356"/>
      <c r="L52" s="55">
        <v>4940000</v>
      </c>
    </row>
    <row r="53" spans="1:13" x14ac:dyDescent="0.25">
      <c r="A53" s="352">
        <v>46167</v>
      </c>
      <c r="B53" s="353"/>
      <c r="C53" s="322">
        <v>123</v>
      </c>
      <c r="D53" s="324"/>
      <c r="E53" s="354" t="s">
        <v>539</v>
      </c>
      <c r="F53" s="355"/>
      <c r="G53" s="355"/>
      <c r="H53" s="355"/>
      <c r="I53" s="355"/>
      <c r="J53" s="355"/>
      <c r="K53" s="356"/>
      <c r="L53" s="55">
        <v>3940000</v>
      </c>
    </row>
    <row r="54" spans="1:13" x14ac:dyDescent="0.25">
      <c r="A54" s="352">
        <v>46168</v>
      </c>
      <c r="B54" s="353"/>
      <c r="C54" s="322">
        <v>125</v>
      </c>
      <c r="D54" s="324"/>
      <c r="E54" s="354" t="s">
        <v>540</v>
      </c>
      <c r="F54" s="355"/>
      <c r="G54" s="355"/>
      <c r="H54" s="355"/>
      <c r="I54" s="355"/>
      <c r="J54" s="355"/>
      <c r="K54" s="356"/>
      <c r="L54" s="55">
        <v>7669000</v>
      </c>
    </row>
    <row r="55" spans="1:13" x14ac:dyDescent="0.25">
      <c r="A55" s="352">
        <v>46168</v>
      </c>
      <c r="B55" s="353"/>
      <c r="C55" s="322">
        <v>128</v>
      </c>
      <c r="D55" s="324"/>
      <c r="E55" s="354" t="s">
        <v>541</v>
      </c>
      <c r="F55" s="355"/>
      <c r="G55" s="355"/>
      <c r="H55" s="355"/>
      <c r="I55" s="355"/>
      <c r="J55" s="355"/>
      <c r="K55" s="356"/>
      <c r="L55" s="55">
        <v>7661400</v>
      </c>
    </row>
    <row r="56" spans="1:13" x14ac:dyDescent="0.25">
      <c r="A56" s="352">
        <v>46169</v>
      </c>
      <c r="B56" s="353"/>
      <c r="C56" s="322">
        <v>133</v>
      </c>
      <c r="D56" s="324"/>
      <c r="E56" s="354" t="s">
        <v>542</v>
      </c>
      <c r="F56" s="355"/>
      <c r="G56" s="355"/>
      <c r="H56" s="355"/>
      <c r="I56" s="355"/>
      <c r="J56" s="355"/>
      <c r="K56" s="356"/>
      <c r="L56" s="55">
        <v>6677000</v>
      </c>
    </row>
    <row r="57" spans="1:13" x14ac:dyDescent="0.25">
      <c r="A57" s="352">
        <v>46172</v>
      </c>
      <c r="B57" s="353"/>
      <c r="C57" s="322">
        <v>143</v>
      </c>
      <c r="D57" s="324"/>
      <c r="E57" s="354" t="s">
        <v>543</v>
      </c>
      <c r="F57" s="355"/>
      <c r="G57" s="355"/>
      <c r="H57" s="355"/>
      <c r="I57" s="355"/>
      <c r="J57" s="355"/>
      <c r="K57" s="356"/>
      <c r="L57" s="55">
        <v>1940000</v>
      </c>
    </row>
    <row r="58" spans="1:13" s="33" customFormat="1" x14ac:dyDescent="0.25">
      <c r="A58" s="352">
        <v>46176</v>
      </c>
      <c r="B58" s="353"/>
      <c r="C58" s="322">
        <v>154</v>
      </c>
      <c r="D58" s="324"/>
      <c r="E58" s="354" t="s">
        <v>544</v>
      </c>
      <c r="F58" s="355"/>
      <c r="G58" s="355"/>
      <c r="H58" s="355"/>
      <c r="I58" s="355"/>
      <c r="J58" s="355"/>
      <c r="K58" s="356"/>
      <c r="L58" s="55">
        <v>5000000</v>
      </c>
    </row>
    <row r="59" spans="1:13" x14ac:dyDescent="0.25">
      <c r="A59" s="352">
        <v>46179</v>
      </c>
      <c r="B59" s="353"/>
      <c r="C59" s="322">
        <v>157</v>
      </c>
      <c r="D59" s="324"/>
      <c r="E59" s="354" t="s">
        <v>568</v>
      </c>
      <c r="F59" s="355"/>
      <c r="G59" s="355"/>
      <c r="H59" s="355"/>
      <c r="I59" s="355"/>
      <c r="J59" s="355"/>
      <c r="K59" s="356"/>
      <c r="L59" s="55">
        <v>9859000</v>
      </c>
      <c r="M59" s="33"/>
    </row>
    <row r="60" spans="1:13" x14ac:dyDescent="0.25">
      <c r="A60" s="352"/>
      <c r="B60" s="353"/>
      <c r="C60" s="322"/>
      <c r="D60" s="324"/>
      <c r="E60" s="354"/>
      <c r="F60" s="355"/>
      <c r="G60" s="355"/>
      <c r="H60" s="355"/>
      <c r="I60" s="355"/>
      <c r="J60" s="355"/>
      <c r="K60" s="356"/>
      <c r="L60" s="55"/>
      <c r="M60" s="33"/>
    </row>
    <row r="61" spans="1:13" x14ac:dyDescent="0.25">
      <c r="A61" s="334" t="s">
        <v>51</v>
      </c>
      <c r="B61" s="335"/>
      <c r="C61" s="335"/>
      <c r="D61" s="335"/>
      <c r="E61" s="335"/>
      <c r="F61" s="335"/>
      <c r="G61" s="335"/>
      <c r="H61" s="335"/>
      <c r="I61" s="335"/>
      <c r="J61" s="335"/>
      <c r="K61" s="336"/>
      <c r="L61" s="63">
        <f>SUM(L50:L60)</f>
        <v>58703400</v>
      </c>
    </row>
    <row r="62" spans="1:13" x14ac:dyDescent="0.25">
      <c r="A62" s="65"/>
      <c r="B62" s="66"/>
      <c r="C62" s="66"/>
      <c r="D62" s="66"/>
      <c r="E62" s="66"/>
      <c r="F62" s="66"/>
      <c r="G62" s="66"/>
      <c r="H62" s="31"/>
      <c r="I62" s="31"/>
      <c r="J62" s="31"/>
      <c r="K62" s="31"/>
      <c r="L62" s="31"/>
    </row>
    <row r="63" spans="1:13" x14ac:dyDescent="0.25">
      <c r="A63" s="48" t="s">
        <v>52</v>
      </c>
      <c r="B63" s="30"/>
      <c r="C63" s="30"/>
      <c r="D63" s="30"/>
      <c r="E63" s="30"/>
      <c r="F63" s="30"/>
      <c r="G63" s="30"/>
      <c r="H63" s="31"/>
      <c r="I63" s="31"/>
      <c r="J63" s="31"/>
      <c r="K63" s="31"/>
      <c r="L63" s="31"/>
    </row>
    <row r="64" spans="1:13" x14ac:dyDescent="0.25">
      <c r="A64" s="44"/>
      <c r="B64" s="45"/>
      <c r="C64" s="45"/>
      <c r="D64" s="45"/>
      <c r="E64" s="45"/>
      <c r="F64" s="45"/>
      <c r="G64" s="45"/>
      <c r="H64" s="31"/>
      <c r="I64" s="31"/>
      <c r="J64" s="46"/>
      <c r="K64" s="46"/>
      <c r="L64" s="31"/>
    </row>
    <row r="65" spans="1:13" x14ac:dyDescent="0.25">
      <c r="A65" s="337" t="s">
        <v>53</v>
      </c>
      <c r="B65" s="338"/>
      <c r="C65" s="337" t="s">
        <v>54</v>
      </c>
      <c r="D65" s="338"/>
      <c r="E65" s="265" t="s">
        <v>55</v>
      </c>
      <c r="F65" s="68" t="s">
        <v>37</v>
      </c>
      <c r="G65" s="339"/>
      <c r="H65" s="340"/>
      <c r="I65" s="340"/>
      <c r="J65" s="340"/>
      <c r="K65" s="341"/>
      <c r="L65" s="348" t="s">
        <v>56</v>
      </c>
    </row>
    <row r="66" spans="1:13" x14ac:dyDescent="0.25">
      <c r="A66" s="316"/>
      <c r="B66" s="317"/>
      <c r="C66" s="350" t="s">
        <v>57</v>
      </c>
      <c r="D66" s="351"/>
      <c r="E66" s="69"/>
      <c r="F66" s="44"/>
      <c r="G66" s="342"/>
      <c r="H66" s="343"/>
      <c r="I66" s="343"/>
      <c r="J66" s="343"/>
      <c r="K66" s="344"/>
      <c r="L66" s="349"/>
    </row>
    <row r="67" spans="1:13" x14ac:dyDescent="0.25">
      <c r="A67" s="310"/>
      <c r="B67" s="312"/>
      <c r="C67" s="310"/>
      <c r="D67" s="312"/>
      <c r="E67" s="70"/>
      <c r="F67" s="267"/>
      <c r="G67" s="342"/>
      <c r="H67" s="343"/>
      <c r="I67" s="343"/>
      <c r="J67" s="343"/>
      <c r="K67" s="344"/>
      <c r="L67" s="55"/>
    </row>
    <row r="68" spans="1:13" x14ac:dyDescent="0.25">
      <c r="A68" s="310"/>
      <c r="B68" s="312"/>
      <c r="C68" s="310"/>
      <c r="D68" s="312"/>
      <c r="E68" s="70"/>
      <c r="F68" s="64"/>
      <c r="G68" s="345"/>
      <c r="H68" s="346"/>
      <c r="I68" s="346"/>
      <c r="J68" s="346"/>
      <c r="K68" s="347"/>
      <c r="L68" s="72"/>
    </row>
    <row r="69" spans="1:13" x14ac:dyDescent="0.25">
      <c r="A69" s="322" t="s">
        <v>41</v>
      </c>
      <c r="B69" s="323"/>
      <c r="C69" s="323"/>
      <c r="D69" s="323"/>
      <c r="E69" s="323"/>
      <c r="F69" s="323"/>
      <c r="G69" s="323"/>
      <c r="H69" s="323"/>
      <c r="I69" s="323"/>
      <c r="J69" s="323"/>
      <c r="K69" s="324"/>
      <c r="L69" s="73">
        <f>SUM(L67:L68)</f>
        <v>0</v>
      </c>
    </row>
    <row r="70" spans="1:13" x14ac:dyDescent="0.25">
      <c r="A70" s="325"/>
      <c r="B70" s="326"/>
      <c r="C70" s="326"/>
      <c r="D70" s="326"/>
      <c r="E70" s="326"/>
      <c r="F70" s="326"/>
      <c r="G70" s="326"/>
      <c r="H70" s="326"/>
      <c r="I70" s="326"/>
      <c r="J70" s="326"/>
      <c r="K70" s="326"/>
      <c r="L70" s="326"/>
    </row>
    <row r="71" spans="1:13" x14ac:dyDescent="0.25">
      <c r="A71" s="327" t="s">
        <v>58</v>
      </c>
      <c r="B71" s="328"/>
      <c r="C71" s="328"/>
      <c r="D71" s="328"/>
      <c r="E71" s="328"/>
      <c r="F71" s="328"/>
      <c r="G71" s="328"/>
      <c r="H71" s="328"/>
      <c r="I71" s="328"/>
      <c r="J71" s="329"/>
      <c r="K71" s="330">
        <f>K9+L43-L61-L69</f>
        <v>0</v>
      </c>
      <c r="L71" s="330"/>
    </row>
    <row r="72" spans="1:13" x14ac:dyDescent="0.25">
      <c r="A72" s="331"/>
      <c r="B72" s="332"/>
      <c r="C72" s="332"/>
      <c r="D72" s="332"/>
      <c r="E72" s="332"/>
      <c r="F72" s="332"/>
      <c r="G72" s="332"/>
      <c r="H72" s="332"/>
      <c r="I72" s="332"/>
      <c r="J72" s="332"/>
      <c r="K72" s="332"/>
      <c r="L72" s="333"/>
    </row>
    <row r="73" spans="1:13" x14ac:dyDescent="0.25">
      <c r="A73" s="305" t="s">
        <v>59</v>
      </c>
      <c r="B73" s="305"/>
      <c r="C73" s="305"/>
      <c r="D73" s="305"/>
      <c r="E73" s="305"/>
      <c r="F73" s="305" t="s">
        <v>60</v>
      </c>
      <c r="G73" s="305"/>
      <c r="H73" s="305"/>
      <c r="I73" s="306"/>
      <c r="J73" s="309" t="s">
        <v>61</v>
      </c>
      <c r="K73" s="309"/>
      <c r="L73" s="309"/>
    </row>
    <row r="74" spans="1:13" x14ac:dyDescent="0.25">
      <c r="A74" s="310"/>
      <c r="B74" s="311"/>
      <c r="C74" s="311"/>
      <c r="D74" s="311"/>
      <c r="E74" s="312"/>
      <c r="F74" s="310"/>
      <c r="G74" s="311"/>
      <c r="H74" s="312"/>
      <c r="I74" s="307"/>
      <c r="J74" s="313"/>
      <c r="K74" s="314"/>
      <c r="L74" s="315"/>
      <c r="M74" s="74"/>
    </row>
    <row r="75" spans="1:13" x14ac:dyDescent="0.25">
      <c r="A75" s="316"/>
      <c r="B75" s="317"/>
      <c r="C75" s="317"/>
      <c r="D75" s="317"/>
      <c r="E75" s="318"/>
      <c r="F75" s="316"/>
      <c r="G75" s="317"/>
      <c r="H75" s="318"/>
      <c r="I75" s="308"/>
      <c r="J75" s="319"/>
      <c r="K75" s="320"/>
      <c r="L75" s="321"/>
    </row>
    <row r="76" spans="1:13" x14ac:dyDescent="0.25">
      <c r="A76" s="33"/>
      <c r="B76" s="33"/>
      <c r="C76" s="33"/>
      <c r="D76" s="33"/>
      <c r="E76" s="33"/>
      <c r="F76" s="33"/>
      <c r="G76" s="33"/>
      <c r="H76" s="75"/>
      <c r="I76" s="75"/>
      <c r="J76" s="75"/>
      <c r="K76" s="75"/>
      <c r="L76" s="75"/>
    </row>
  </sheetData>
  <mergeCells count="161">
    <mergeCell ref="F74:H74"/>
    <mergeCell ref="J74:L74"/>
    <mergeCell ref="A75:E75"/>
    <mergeCell ref="F75:H75"/>
    <mergeCell ref="J75:L75"/>
    <mergeCell ref="A69:K69"/>
    <mergeCell ref="A70:L70"/>
    <mergeCell ref="A71:J71"/>
    <mergeCell ref="K71:L71"/>
    <mergeCell ref="A72:L72"/>
    <mergeCell ref="A73:E73"/>
    <mergeCell ref="F73:H73"/>
    <mergeCell ref="I73:I75"/>
    <mergeCell ref="J73:L73"/>
    <mergeCell ref="A74:E74"/>
    <mergeCell ref="L65:L66"/>
    <mergeCell ref="A66:B66"/>
    <mergeCell ref="C66:D66"/>
    <mergeCell ref="A67:B67"/>
    <mergeCell ref="C67:D67"/>
    <mergeCell ref="A68:B68"/>
    <mergeCell ref="C68:D68"/>
    <mergeCell ref="A60:B60"/>
    <mergeCell ref="C60:D60"/>
    <mergeCell ref="E60:K60"/>
    <mergeCell ref="A61:K61"/>
    <mergeCell ref="A65:B65"/>
    <mergeCell ref="C65:D65"/>
    <mergeCell ref="G65:K68"/>
    <mergeCell ref="A58:B58"/>
    <mergeCell ref="C58:D58"/>
    <mergeCell ref="E58:K58"/>
    <mergeCell ref="A59:B59"/>
    <mergeCell ref="C59:D59"/>
    <mergeCell ref="E59:K59"/>
    <mergeCell ref="A56:B56"/>
    <mergeCell ref="C56:D56"/>
    <mergeCell ref="E56:K56"/>
    <mergeCell ref="A57:B57"/>
    <mergeCell ref="C57:D57"/>
    <mergeCell ref="E57:K57"/>
    <mergeCell ref="A54:B54"/>
    <mergeCell ref="C54:D54"/>
    <mergeCell ref="E54:K54"/>
    <mergeCell ref="A55:B55"/>
    <mergeCell ref="C55:D55"/>
    <mergeCell ref="E55:K55"/>
    <mergeCell ref="A52:B52"/>
    <mergeCell ref="C52:D52"/>
    <mergeCell ref="E52:K52"/>
    <mergeCell ref="A53:B53"/>
    <mergeCell ref="C53:D53"/>
    <mergeCell ref="E53:K53"/>
    <mergeCell ref="A50:B50"/>
    <mergeCell ref="C50:D50"/>
    <mergeCell ref="E50:K50"/>
    <mergeCell ref="A51:B51"/>
    <mergeCell ref="C51:D51"/>
    <mergeCell ref="E51:K51"/>
    <mergeCell ref="A43:B43"/>
    <mergeCell ref="I43:K43"/>
    <mergeCell ref="A47:B49"/>
    <mergeCell ref="C47:D49"/>
    <mergeCell ref="E47:K49"/>
    <mergeCell ref="L47:L49"/>
    <mergeCell ref="A41:B41"/>
    <mergeCell ref="C41:D41"/>
    <mergeCell ref="E41:F41"/>
    <mergeCell ref="A42:B42"/>
    <mergeCell ref="C42:D42"/>
    <mergeCell ref="E42:F42"/>
    <mergeCell ref="A39:B39"/>
    <mergeCell ref="C39:D39"/>
    <mergeCell ref="E39:F39"/>
    <mergeCell ref="A40:B40"/>
    <mergeCell ref="C40:D40"/>
    <mergeCell ref="E40:F40"/>
    <mergeCell ref="A37:B37"/>
    <mergeCell ref="C37:D37"/>
    <mergeCell ref="E37:F37"/>
    <mergeCell ref="A38:B38"/>
    <mergeCell ref="C38:D38"/>
    <mergeCell ref="E38:F38"/>
    <mergeCell ref="A35:B35"/>
    <mergeCell ref="C35:D35"/>
    <mergeCell ref="E35:F35"/>
    <mergeCell ref="A36:B36"/>
    <mergeCell ref="C36:D36"/>
    <mergeCell ref="E36:F36"/>
    <mergeCell ref="A33:B33"/>
    <mergeCell ref="C33:D33"/>
    <mergeCell ref="E33:F33"/>
    <mergeCell ref="A34:B34"/>
    <mergeCell ref="C34:D34"/>
    <mergeCell ref="E34:F34"/>
    <mergeCell ref="A31:B31"/>
    <mergeCell ref="C31:D31"/>
    <mergeCell ref="E31:F31"/>
    <mergeCell ref="A32:B32"/>
    <mergeCell ref="C32:D32"/>
    <mergeCell ref="E32:F32"/>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0"/>
  <sheetViews>
    <sheetView topLeftCell="A39" workbookViewId="0">
      <selection activeCell="A54" sqref="A54:K54"/>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t="s">
        <v>535</v>
      </c>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74" t="s">
        <v>27</v>
      </c>
      <c r="B6" s="273" t="s">
        <v>28</v>
      </c>
      <c r="C6" s="273" t="s">
        <v>29</v>
      </c>
      <c r="D6" s="30"/>
      <c r="E6" s="30"/>
      <c r="F6" s="30"/>
      <c r="G6" s="30"/>
      <c r="H6" s="31"/>
      <c r="I6" s="31"/>
      <c r="J6" s="31"/>
      <c r="K6" s="31"/>
      <c r="L6" s="32"/>
    </row>
    <row r="7" spans="1:12" x14ac:dyDescent="0.25">
      <c r="A7" s="41" t="s">
        <v>245</v>
      </c>
      <c r="B7" s="42" t="s">
        <v>141</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76" t="s">
        <v>40</v>
      </c>
      <c r="K13" s="276" t="s">
        <v>40</v>
      </c>
      <c r="L13" s="276" t="s">
        <v>41</v>
      </c>
    </row>
    <row r="14" spans="1:12" x14ac:dyDescent="0.25">
      <c r="A14" s="396"/>
      <c r="B14" s="397"/>
      <c r="C14" s="396"/>
      <c r="D14" s="397"/>
      <c r="E14" s="361"/>
      <c r="F14" s="362"/>
      <c r="G14" s="399"/>
      <c r="H14" s="399"/>
      <c r="I14" s="399"/>
      <c r="J14" s="277" t="s">
        <v>42</v>
      </c>
      <c r="K14" s="277" t="s">
        <v>43</v>
      </c>
      <c r="L14" s="277" t="s">
        <v>44</v>
      </c>
    </row>
    <row r="15" spans="1:12" x14ac:dyDescent="0.25">
      <c r="A15" s="385">
        <v>1</v>
      </c>
      <c r="B15" s="384"/>
      <c r="C15" s="386" t="s">
        <v>140</v>
      </c>
      <c r="D15" s="386"/>
      <c r="E15" s="383" t="s">
        <v>161</v>
      </c>
      <c r="F15" s="383"/>
      <c r="G15" s="59" t="s">
        <v>26</v>
      </c>
      <c r="H15" s="55">
        <v>318922</v>
      </c>
      <c r="I15" s="56"/>
      <c r="J15" s="57"/>
      <c r="K15" s="57"/>
      <c r="L15" s="58">
        <f t="shared" ref="L15:L46" si="0">H15</f>
        <v>318922</v>
      </c>
    </row>
    <row r="16" spans="1:12" x14ac:dyDescent="0.25">
      <c r="A16" s="385">
        <v>1</v>
      </c>
      <c r="B16" s="384"/>
      <c r="C16" s="386" t="s">
        <v>206</v>
      </c>
      <c r="D16" s="386"/>
      <c r="E16" s="383" t="s">
        <v>373</v>
      </c>
      <c r="F16" s="383"/>
      <c r="G16" s="59" t="s">
        <v>26</v>
      </c>
      <c r="H16" s="55">
        <v>423493</v>
      </c>
      <c r="I16" s="56"/>
      <c r="J16" s="57"/>
      <c r="K16" s="57"/>
      <c r="L16" s="58">
        <f t="shared" si="0"/>
        <v>423493</v>
      </c>
    </row>
    <row r="17" spans="1:12" x14ac:dyDescent="0.25">
      <c r="A17" s="387" t="s">
        <v>77</v>
      </c>
      <c r="B17" s="386"/>
      <c r="C17" s="386" t="s">
        <v>206</v>
      </c>
      <c r="D17" s="386"/>
      <c r="E17" s="388" t="s">
        <v>389</v>
      </c>
      <c r="F17" s="389"/>
      <c r="G17" s="279" t="s">
        <v>26</v>
      </c>
      <c r="H17" s="60">
        <v>615100</v>
      </c>
      <c r="I17" s="56"/>
      <c r="J17" s="57"/>
      <c r="K17" s="57"/>
      <c r="L17" s="58">
        <f t="shared" si="0"/>
        <v>615100</v>
      </c>
    </row>
    <row r="18" spans="1:12" x14ac:dyDescent="0.25">
      <c r="A18" s="387" t="s">
        <v>77</v>
      </c>
      <c r="B18" s="386"/>
      <c r="C18" s="384">
        <v>1</v>
      </c>
      <c r="D18" s="384"/>
      <c r="E18" s="388" t="s">
        <v>560</v>
      </c>
      <c r="F18" s="389"/>
      <c r="G18" s="279" t="s">
        <v>26</v>
      </c>
      <c r="H18" s="55">
        <v>450400</v>
      </c>
      <c r="I18" s="56"/>
      <c r="J18" s="57"/>
      <c r="K18" s="57"/>
      <c r="L18" s="58">
        <f t="shared" si="0"/>
        <v>450400</v>
      </c>
    </row>
    <row r="19" spans="1:12" x14ac:dyDescent="0.25">
      <c r="A19" s="387" t="s">
        <v>77</v>
      </c>
      <c r="B19" s="386"/>
      <c r="C19" s="384">
        <v>1</v>
      </c>
      <c r="D19" s="384"/>
      <c r="E19" s="388" t="s">
        <v>561</v>
      </c>
      <c r="F19" s="389"/>
      <c r="G19" s="279" t="s">
        <v>26</v>
      </c>
      <c r="H19" s="55">
        <v>898104</v>
      </c>
      <c r="I19" s="56"/>
      <c r="J19" s="57"/>
      <c r="K19" s="57"/>
      <c r="L19" s="58">
        <f t="shared" si="0"/>
        <v>898104</v>
      </c>
    </row>
    <row r="20" spans="1:12" x14ac:dyDescent="0.25">
      <c r="A20" s="387" t="s">
        <v>77</v>
      </c>
      <c r="B20" s="386"/>
      <c r="C20" s="379" t="s">
        <v>80</v>
      </c>
      <c r="D20" s="380"/>
      <c r="E20" s="392" t="s">
        <v>498</v>
      </c>
      <c r="F20" s="393"/>
      <c r="G20" s="279" t="s">
        <v>26</v>
      </c>
      <c r="H20" s="55">
        <v>714200</v>
      </c>
      <c r="I20" s="56"/>
      <c r="J20" s="57"/>
      <c r="K20" s="57"/>
      <c r="L20" s="58">
        <f t="shared" si="0"/>
        <v>714200</v>
      </c>
    </row>
    <row r="21" spans="1:12" x14ac:dyDescent="0.25">
      <c r="A21" s="385">
        <v>1</v>
      </c>
      <c r="B21" s="384"/>
      <c r="C21" s="386" t="s">
        <v>77</v>
      </c>
      <c r="D21" s="386"/>
      <c r="E21" s="383" t="s">
        <v>562</v>
      </c>
      <c r="F21" s="383"/>
      <c r="G21" s="59" t="s">
        <v>26</v>
      </c>
      <c r="H21" s="55">
        <v>614700</v>
      </c>
      <c r="I21" s="56"/>
      <c r="J21" s="57"/>
      <c r="K21" s="57"/>
      <c r="L21" s="58">
        <f t="shared" si="0"/>
        <v>614700</v>
      </c>
    </row>
    <row r="22" spans="1:12" x14ac:dyDescent="0.25">
      <c r="A22" s="375">
        <v>1</v>
      </c>
      <c r="B22" s="376"/>
      <c r="C22" s="322">
        <v>2</v>
      </c>
      <c r="D22" s="324"/>
      <c r="E22" s="383" t="s">
        <v>563</v>
      </c>
      <c r="F22" s="383"/>
      <c r="G22" s="59" t="s">
        <v>26</v>
      </c>
      <c r="H22" s="55">
        <v>85300</v>
      </c>
      <c r="I22" s="56"/>
      <c r="J22" s="57"/>
      <c r="K22" s="57"/>
      <c r="L22" s="58">
        <f t="shared" si="0"/>
        <v>85300</v>
      </c>
    </row>
    <row r="23" spans="1:12" x14ac:dyDescent="0.25">
      <c r="A23" s="375">
        <v>1</v>
      </c>
      <c r="B23" s="376"/>
      <c r="C23" s="384">
        <v>6</v>
      </c>
      <c r="D23" s="384"/>
      <c r="E23" s="383" t="s">
        <v>381</v>
      </c>
      <c r="F23" s="383"/>
      <c r="G23" s="59" t="s">
        <v>26</v>
      </c>
      <c r="H23" s="55">
        <v>308200</v>
      </c>
      <c r="I23" s="56"/>
      <c r="J23" s="57"/>
      <c r="K23" s="57"/>
      <c r="L23" s="58">
        <f t="shared" si="0"/>
        <v>308200</v>
      </c>
    </row>
    <row r="24" spans="1:12" x14ac:dyDescent="0.25">
      <c r="A24" s="375">
        <v>1</v>
      </c>
      <c r="B24" s="376"/>
      <c r="C24" s="379" t="s">
        <v>206</v>
      </c>
      <c r="D24" s="380"/>
      <c r="E24" s="392" t="s">
        <v>380</v>
      </c>
      <c r="F24" s="393"/>
      <c r="G24" s="59" t="s">
        <v>26</v>
      </c>
      <c r="H24" s="55">
        <v>1376500</v>
      </c>
      <c r="I24" s="56"/>
      <c r="J24" s="57"/>
      <c r="K24" s="57"/>
      <c r="L24" s="58">
        <f t="shared" si="0"/>
        <v>1376500</v>
      </c>
    </row>
    <row r="25" spans="1:12" x14ac:dyDescent="0.25">
      <c r="A25" s="375">
        <v>1</v>
      </c>
      <c r="B25" s="376"/>
      <c r="C25" s="379" t="s">
        <v>158</v>
      </c>
      <c r="D25" s="380"/>
      <c r="E25" s="381" t="s">
        <v>405</v>
      </c>
      <c r="F25" s="382"/>
      <c r="G25" s="59" t="s">
        <v>26</v>
      </c>
      <c r="H25" s="55">
        <v>989800</v>
      </c>
      <c r="I25" s="56"/>
      <c r="J25" s="57"/>
      <c r="K25" s="57"/>
      <c r="L25" s="58">
        <f t="shared" si="0"/>
        <v>989800</v>
      </c>
    </row>
    <row r="26" spans="1:12" x14ac:dyDescent="0.25">
      <c r="A26" s="375">
        <v>1</v>
      </c>
      <c r="B26" s="376"/>
      <c r="C26" s="379" t="s">
        <v>188</v>
      </c>
      <c r="D26" s="380"/>
      <c r="E26" s="381" t="s">
        <v>471</v>
      </c>
      <c r="F26" s="382"/>
      <c r="G26" s="59" t="s">
        <v>26</v>
      </c>
      <c r="H26" s="55">
        <v>452200</v>
      </c>
      <c r="I26" s="56"/>
      <c r="J26" s="57"/>
      <c r="K26" s="57"/>
      <c r="L26" s="58">
        <f t="shared" si="0"/>
        <v>452200</v>
      </c>
    </row>
    <row r="27" spans="1:12" x14ac:dyDescent="0.25">
      <c r="A27" s="375">
        <v>1</v>
      </c>
      <c r="B27" s="376"/>
      <c r="C27" s="322">
        <v>1</v>
      </c>
      <c r="D27" s="324"/>
      <c r="E27" s="381" t="s">
        <v>564</v>
      </c>
      <c r="F27" s="382"/>
      <c r="G27" s="279" t="s">
        <v>26</v>
      </c>
      <c r="H27" s="60">
        <v>792800</v>
      </c>
      <c r="I27" s="56"/>
      <c r="J27" s="57"/>
      <c r="K27" s="57"/>
      <c r="L27" s="58">
        <f t="shared" si="0"/>
        <v>792800</v>
      </c>
    </row>
    <row r="28" spans="1:12" x14ac:dyDescent="0.25">
      <c r="A28" s="375">
        <v>1</v>
      </c>
      <c r="B28" s="376"/>
      <c r="C28" s="322">
        <v>6</v>
      </c>
      <c r="D28" s="324"/>
      <c r="E28" s="383" t="s">
        <v>387</v>
      </c>
      <c r="F28" s="383"/>
      <c r="G28" s="279" t="s">
        <v>26</v>
      </c>
      <c r="H28" s="60">
        <v>1218500</v>
      </c>
      <c r="I28" s="56"/>
      <c r="J28" s="57"/>
      <c r="K28" s="57"/>
      <c r="L28" s="58">
        <f t="shared" si="0"/>
        <v>1218500</v>
      </c>
    </row>
    <row r="29" spans="1:12" x14ac:dyDescent="0.25">
      <c r="A29" s="375">
        <v>1</v>
      </c>
      <c r="B29" s="376"/>
      <c r="C29" s="379" t="s">
        <v>206</v>
      </c>
      <c r="D29" s="380"/>
      <c r="E29" s="377" t="s">
        <v>565</v>
      </c>
      <c r="F29" s="378"/>
      <c r="G29" s="279" t="s">
        <v>26</v>
      </c>
      <c r="H29" s="60">
        <v>300000</v>
      </c>
      <c r="I29" s="56"/>
      <c r="J29" s="57"/>
      <c r="K29" s="57"/>
      <c r="L29" s="58">
        <f t="shared" si="0"/>
        <v>300000</v>
      </c>
    </row>
    <row r="30" spans="1:12" x14ac:dyDescent="0.25">
      <c r="A30" s="375">
        <v>1</v>
      </c>
      <c r="B30" s="376"/>
      <c r="C30" s="411" t="s">
        <v>158</v>
      </c>
      <c r="D30" s="412"/>
      <c r="E30" s="381" t="s">
        <v>463</v>
      </c>
      <c r="F30" s="382"/>
      <c r="G30" s="279" t="s">
        <v>26</v>
      </c>
      <c r="H30" s="60">
        <v>301874</v>
      </c>
      <c r="I30" s="56"/>
      <c r="J30" s="57"/>
      <c r="K30" s="57"/>
      <c r="L30" s="58">
        <f t="shared" si="0"/>
        <v>301874</v>
      </c>
    </row>
    <row r="31" spans="1:12" x14ac:dyDescent="0.25">
      <c r="A31" s="375">
        <v>1</v>
      </c>
      <c r="B31" s="376"/>
      <c r="C31" s="375">
        <v>6</v>
      </c>
      <c r="D31" s="376"/>
      <c r="E31" s="381" t="s">
        <v>377</v>
      </c>
      <c r="F31" s="382"/>
      <c r="G31" s="279" t="s">
        <v>26</v>
      </c>
      <c r="H31" s="60">
        <v>573668</v>
      </c>
      <c r="I31" s="56"/>
      <c r="J31" s="57"/>
      <c r="K31" s="57"/>
      <c r="L31" s="58">
        <f t="shared" si="0"/>
        <v>573668</v>
      </c>
    </row>
    <row r="32" spans="1:12" x14ac:dyDescent="0.25">
      <c r="A32" s="375">
        <v>1</v>
      </c>
      <c r="B32" s="376"/>
      <c r="C32" s="375">
        <v>13</v>
      </c>
      <c r="D32" s="376"/>
      <c r="E32" s="381" t="s">
        <v>182</v>
      </c>
      <c r="F32" s="382"/>
      <c r="G32" s="279" t="s">
        <v>26</v>
      </c>
      <c r="H32" s="60">
        <v>418100</v>
      </c>
      <c r="I32" s="56"/>
      <c r="J32" s="57"/>
      <c r="K32" s="57"/>
      <c r="L32" s="58">
        <f t="shared" si="0"/>
        <v>418100</v>
      </c>
    </row>
    <row r="33" spans="1:12" x14ac:dyDescent="0.25">
      <c r="A33" s="375">
        <v>1</v>
      </c>
      <c r="B33" s="376"/>
      <c r="C33" s="411" t="s">
        <v>273</v>
      </c>
      <c r="D33" s="412"/>
      <c r="E33" s="381" t="s">
        <v>211</v>
      </c>
      <c r="F33" s="382"/>
      <c r="G33" s="279" t="s">
        <v>26</v>
      </c>
      <c r="H33" s="60">
        <v>790200</v>
      </c>
      <c r="I33" s="56"/>
      <c r="J33" s="57"/>
      <c r="K33" s="57"/>
      <c r="L33" s="58">
        <f t="shared" si="0"/>
        <v>790200</v>
      </c>
    </row>
    <row r="34" spans="1:12" x14ac:dyDescent="0.25">
      <c r="A34" s="375">
        <v>1</v>
      </c>
      <c r="B34" s="376"/>
      <c r="C34" s="411" t="s">
        <v>74</v>
      </c>
      <c r="D34" s="412"/>
      <c r="E34" s="381" t="s">
        <v>191</v>
      </c>
      <c r="F34" s="382"/>
      <c r="G34" s="279" t="s">
        <v>26</v>
      </c>
      <c r="H34" s="60">
        <v>346685</v>
      </c>
      <c r="I34" s="56"/>
      <c r="J34" s="57"/>
      <c r="K34" s="57"/>
      <c r="L34" s="58">
        <f t="shared" si="0"/>
        <v>346685</v>
      </c>
    </row>
    <row r="35" spans="1:12" x14ac:dyDescent="0.25">
      <c r="A35" s="375">
        <v>1</v>
      </c>
      <c r="B35" s="376"/>
      <c r="C35" s="375">
        <v>12</v>
      </c>
      <c r="D35" s="376"/>
      <c r="E35" s="381" t="s">
        <v>192</v>
      </c>
      <c r="F35" s="382"/>
      <c r="G35" s="279" t="s">
        <v>26</v>
      </c>
      <c r="H35" s="60">
        <v>425600</v>
      </c>
      <c r="I35" s="56"/>
      <c r="J35" s="57"/>
      <c r="K35" s="57"/>
      <c r="L35" s="58">
        <f t="shared" si="0"/>
        <v>425600</v>
      </c>
    </row>
    <row r="36" spans="1:12" x14ac:dyDescent="0.25">
      <c r="A36" s="375">
        <v>1</v>
      </c>
      <c r="B36" s="376"/>
      <c r="C36" s="411" t="s">
        <v>158</v>
      </c>
      <c r="D36" s="412"/>
      <c r="E36" s="381" t="s">
        <v>424</v>
      </c>
      <c r="F36" s="382"/>
      <c r="G36" s="279" t="s">
        <v>26</v>
      </c>
      <c r="H36" s="60">
        <v>696400</v>
      </c>
      <c r="I36" s="56"/>
      <c r="J36" s="57"/>
      <c r="K36" s="57"/>
      <c r="L36" s="58">
        <f t="shared" si="0"/>
        <v>696400</v>
      </c>
    </row>
    <row r="37" spans="1:12" x14ac:dyDescent="0.25">
      <c r="A37" s="375">
        <v>1</v>
      </c>
      <c r="B37" s="376"/>
      <c r="C37" s="379" t="s">
        <v>140</v>
      </c>
      <c r="D37" s="380"/>
      <c r="E37" s="381" t="s">
        <v>180</v>
      </c>
      <c r="F37" s="382"/>
      <c r="G37" s="279" t="s">
        <v>26</v>
      </c>
      <c r="H37" s="60">
        <v>600000</v>
      </c>
      <c r="I37" s="56"/>
      <c r="J37" s="57"/>
      <c r="K37" s="57"/>
      <c r="L37" s="58">
        <f t="shared" si="0"/>
        <v>600000</v>
      </c>
    </row>
    <row r="38" spans="1:12" x14ac:dyDescent="0.25">
      <c r="A38" s="375">
        <v>1</v>
      </c>
      <c r="B38" s="376"/>
      <c r="C38" s="379" t="s">
        <v>206</v>
      </c>
      <c r="D38" s="380"/>
      <c r="E38" s="381" t="s">
        <v>386</v>
      </c>
      <c r="F38" s="382"/>
      <c r="G38" s="279" t="s">
        <v>26</v>
      </c>
      <c r="H38" s="60">
        <v>1421200</v>
      </c>
      <c r="I38" s="56"/>
      <c r="J38" s="57"/>
      <c r="K38" s="57"/>
      <c r="L38" s="58">
        <f t="shared" si="0"/>
        <v>1421200</v>
      </c>
    </row>
    <row r="39" spans="1:12" x14ac:dyDescent="0.25">
      <c r="A39" s="375">
        <v>1</v>
      </c>
      <c r="B39" s="376"/>
      <c r="C39" s="322">
        <v>1</v>
      </c>
      <c r="D39" s="324"/>
      <c r="E39" s="392" t="s">
        <v>566</v>
      </c>
      <c r="F39" s="393"/>
      <c r="G39" s="279" t="s">
        <v>26</v>
      </c>
      <c r="H39" s="60">
        <v>511200</v>
      </c>
      <c r="I39" s="56"/>
      <c r="J39" s="57"/>
      <c r="K39" s="57"/>
      <c r="L39" s="58">
        <f t="shared" si="0"/>
        <v>511200</v>
      </c>
    </row>
    <row r="40" spans="1:12" x14ac:dyDescent="0.25">
      <c r="A40" s="375">
        <v>1</v>
      </c>
      <c r="B40" s="376"/>
      <c r="C40" s="322">
        <v>4</v>
      </c>
      <c r="D40" s="324"/>
      <c r="E40" s="392" t="s">
        <v>472</v>
      </c>
      <c r="F40" s="393"/>
      <c r="G40" s="279" t="s">
        <v>26</v>
      </c>
      <c r="H40" s="60">
        <v>672000</v>
      </c>
      <c r="I40" s="56"/>
      <c r="J40" s="57"/>
      <c r="K40" s="57"/>
      <c r="L40" s="58">
        <f t="shared" si="0"/>
        <v>672000</v>
      </c>
    </row>
    <row r="41" spans="1:12" x14ac:dyDescent="0.25">
      <c r="A41" s="375">
        <v>1</v>
      </c>
      <c r="B41" s="376"/>
      <c r="C41" s="322">
        <v>2</v>
      </c>
      <c r="D41" s="324"/>
      <c r="E41" s="392" t="s">
        <v>504</v>
      </c>
      <c r="F41" s="393"/>
      <c r="G41" s="279" t="s">
        <v>26</v>
      </c>
      <c r="H41" s="60">
        <v>252500</v>
      </c>
      <c r="I41" s="56"/>
      <c r="J41" s="57"/>
      <c r="K41" s="57"/>
      <c r="L41" s="58">
        <f t="shared" si="0"/>
        <v>252500</v>
      </c>
    </row>
    <row r="42" spans="1:12" x14ac:dyDescent="0.25">
      <c r="A42" s="375">
        <v>6</v>
      </c>
      <c r="B42" s="376"/>
      <c r="C42" s="322" t="s">
        <v>302</v>
      </c>
      <c r="D42" s="324"/>
      <c r="E42" s="392" t="s">
        <v>567</v>
      </c>
      <c r="F42" s="393"/>
      <c r="G42" s="279" t="s">
        <v>26</v>
      </c>
      <c r="H42" s="60">
        <v>6492967</v>
      </c>
      <c r="I42" s="56"/>
      <c r="J42" s="57"/>
      <c r="K42" s="57"/>
      <c r="L42" s="58">
        <f t="shared" si="0"/>
        <v>6492967</v>
      </c>
    </row>
    <row r="43" spans="1:12" x14ac:dyDescent="0.25">
      <c r="A43" s="375">
        <v>1</v>
      </c>
      <c r="B43" s="376"/>
      <c r="C43" s="322">
        <v>4</v>
      </c>
      <c r="D43" s="324"/>
      <c r="E43" s="392" t="s">
        <v>473</v>
      </c>
      <c r="F43" s="393"/>
      <c r="G43" s="281" t="s">
        <v>26</v>
      </c>
      <c r="H43" s="60">
        <v>450400</v>
      </c>
      <c r="I43" s="56"/>
      <c r="J43" s="57"/>
      <c r="K43" s="57"/>
      <c r="L43" s="58">
        <f t="shared" si="0"/>
        <v>450400</v>
      </c>
    </row>
    <row r="44" spans="1:12" x14ac:dyDescent="0.25">
      <c r="A44" s="375">
        <v>1</v>
      </c>
      <c r="B44" s="376"/>
      <c r="C44" s="322">
        <v>5</v>
      </c>
      <c r="D44" s="324"/>
      <c r="E44" s="392" t="s">
        <v>413</v>
      </c>
      <c r="F44" s="393"/>
      <c r="G44" s="281" t="s">
        <v>26</v>
      </c>
      <c r="H44" s="60">
        <v>1028500</v>
      </c>
      <c r="I44" s="56"/>
      <c r="J44" s="57"/>
      <c r="K44" s="57"/>
      <c r="L44" s="58">
        <f t="shared" si="0"/>
        <v>1028500</v>
      </c>
    </row>
    <row r="45" spans="1:12" x14ac:dyDescent="0.25">
      <c r="A45" s="375">
        <v>1</v>
      </c>
      <c r="B45" s="376"/>
      <c r="C45" s="322">
        <v>1</v>
      </c>
      <c r="D45" s="324"/>
      <c r="E45" s="392" t="s">
        <v>570</v>
      </c>
      <c r="F45" s="393"/>
      <c r="G45" s="281" t="s">
        <v>26</v>
      </c>
      <c r="H45" s="60">
        <v>922100</v>
      </c>
      <c r="I45" s="56"/>
      <c r="J45" s="57"/>
      <c r="K45" s="57"/>
      <c r="L45" s="58">
        <f t="shared" si="0"/>
        <v>922100</v>
      </c>
    </row>
    <row r="46" spans="1:12" x14ac:dyDescent="0.25">
      <c r="A46" s="375">
        <v>1</v>
      </c>
      <c r="B46" s="376"/>
      <c r="C46" s="322">
        <v>1</v>
      </c>
      <c r="D46" s="324"/>
      <c r="E46" s="392" t="s">
        <v>571</v>
      </c>
      <c r="F46" s="393"/>
      <c r="G46" s="281" t="s">
        <v>26</v>
      </c>
      <c r="H46" s="60">
        <v>1030700</v>
      </c>
      <c r="I46" s="56"/>
      <c r="J46" s="57"/>
      <c r="K46" s="57"/>
      <c r="L46" s="58">
        <f t="shared" si="0"/>
        <v>1030700</v>
      </c>
    </row>
    <row r="47" spans="1:12" x14ac:dyDescent="0.25">
      <c r="A47" s="322"/>
      <c r="B47" s="324"/>
      <c r="C47" s="61" t="s">
        <v>45</v>
      </c>
      <c r="D47" s="62"/>
      <c r="E47" s="62"/>
      <c r="F47" s="62"/>
      <c r="G47" s="62"/>
      <c r="H47" s="63">
        <f>SUM(H15:H46)</f>
        <v>26492313</v>
      </c>
      <c r="I47" s="334"/>
      <c r="J47" s="335"/>
      <c r="K47" s="336"/>
      <c r="L47" s="63">
        <f>SUM(L15:L46)</f>
        <v>26492313</v>
      </c>
    </row>
    <row r="48" spans="1:12" x14ac:dyDescent="0.25">
      <c r="A48" s="64"/>
      <c r="B48" s="38"/>
      <c r="C48" s="29"/>
      <c r="D48" s="30"/>
      <c r="E48" s="30"/>
      <c r="F48" s="30"/>
      <c r="G48" s="30"/>
      <c r="H48" s="31"/>
      <c r="I48" s="31"/>
      <c r="J48" s="31"/>
      <c r="K48" s="31"/>
      <c r="L48" s="32"/>
    </row>
    <row r="49" spans="1:13" x14ac:dyDescent="0.25">
      <c r="A49" s="48" t="s">
        <v>46</v>
      </c>
      <c r="B49" s="38"/>
      <c r="C49" s="29"/>
      <c r="D49" s="30"/>
      <c r="E49" s="30"/>
      <c r="F49" s="30"/>
      <c r="G49" s="30"/>
      <c r="H49" s="31"/>
      <c r="I49" s="31"/>
      <c r="J49" s="31"/>
      <c r="K49" s="31"/>
      <c r="L49" s="32"/>
    </row>
    <row r="50" spans="1:13" x14ac:dyDescent="0.25">
      <c r="A50" s="48"/>
      <c r="B50" s="30"/>
      <c r="C50" s="30"/>
      <c r="D50" s="30"/>
      <c r="E50" s="30"/>
      <c r="F50" s="30"/>
      <c r="G50" s="30"/>
      <c r="H50" s="31"/>
      <c r="I50" s="31"/>
      <c r="J50" s="31"/>
      <c r="K50" s="31"/>
      <c r="L50" s="32"/>
    </row>
    <row r="51" spans="1:13" x14ac:dyDescent="0.25">
      <c r="A51" s="357" t="s">
        <v>47</v>
      </c>
      <c r="B51" s="358"/>
      <c r="C51" s="363" t="s">
        <v>48</v>
      </c>
      <c r="D51" s="364"/>
      <c r="E51" s="357" t="s">
        <v>49</v>
      </c>
      <c r="F51" s="369"/>
      <c r="G51" s="369"/>
      <c r="H51" s="369"/>
      <c r="I51" s="369"/>
      <c r="J51" s="369"/>
      <c r="K51" s="358"/>
      <c r="L51" s="372" t="s">
        <v>50</v>
      </c>
    </row>
    <row r="52" spans="1:13" x14ac:dyDescent="0.25">
      <c r="A52" s="359"/>
      <c r="B52" s="360"/>
      <c r="C52" s="365"/>
      <c r="D52" s="366"/>
      <c r="E52" s="359"/>
      <c r="F52" s="370"/>
      <c r="G52" s="370"/>
      <c r="H52" s="370"/>
      <c r="I52" s="370"/>
      <c r="J52" s="370"/>
      <c r="K52" s="360"/>
      <c r="L52" s="373"/>
    </row>
    <row r="53" spans="1:13" x14ac:dyDescent="0.25">
      <c r="A53" s="361"/>
      <c r="B53" s="362"/>
      <c r="C53" s="367"/>
      <c r="D53" s="368"/>
      <c r="E53" s="361"/>
      <c r="F53" s="371"/>
      <c r="G53" s="371"/>
      <c r="H53" s="371"/>
      <c r="I53" s="371"/>
      <c r="J53" s="371"/>
      <c r="K53" s="362"/>
      <c r="L53" s="374"/>
    </row>
    <row r="54" spans="1:13" x14ac:dyDescent="0.25">
      <c r="A54" s="352">
        <v>46193</v>
      </c>
      <c r="B54" s="353"/>
      <c r="C54" s="322" t="s">
        <v>100</v>
      </c>
      <c r="D54" s="324"/>
      <c r="E54" s="354" t="s">
        <v>244</v>
      </c>
      <c r="F54" s="355"/>
      <c r="G54" s="355"/>
      <c r="H54" s="355"/>
      <c r="I54" s="355"/>
      <c r="J54" s="355"/>
      <c r="K54" s="356"/>
      <c r="L54" s="55">
        <v>26492313</v>
      </c>
    </row>
    <row r="55" spans="1:13" x14ac:dyDescent="0.25">
      <c r="A55" s="352"/>
      <c r="B55" s="353"/>
      <c r="C55" s="322"/>
      <c r="D55" s="324"/>
      <c r="E55" s="354"/>
      <c r="F55" s="355"/>
      <c r="G55" s="355"/>
      <c r="H55" s="355"/>
      <c r="I55" s="355"/>
      <c r="J55" s="355"/>
      <c r="K55" s="356"/>
      <c r="L55" s="55"/>
    </row>
    <row r="56" spans="1:13" x14ac:dyDescent="0.25">
      <c r="A56" s="352"/>
      <c r="B56" s="353"/>
      <c r="C56" s="322"/>
      <c r="D56" s="324"/>
      <c r="E56" s="354"/>
      <c r="F56" s="355"/>
      <c r="G56" s="355"/>
      <c r="H56" s="355"/>
      <c r="I56" s="355"/>
      <c r="J56" s="355"/>
      <c r="K56" s="356"/>
      <c r="L56" s="55"/>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x14ac:dyDescent="0.25">
      <c r="A60" s="352"/>
      <c r="B60" s="353"/>
      <c r="C60" s="322"/>
      <c r="D60" s="324"/>
      <c r="E60" s="354"/>
      <c r="F60" s="355"/>
      <c r="G60" s="355"/>
      <c r="H60" s="355"/>
      <c r="I60" s="355"/>
      <c r="J60" s="355"/>
      <c r="K60" s="356"/>
      <c r="L60" s="55"/>
    </row>
    <row r="61" spans="1:13" x14ac:dyDescent="0.25">
      <c r="A61" s="352"/>
      <c r="B61" s="353"/>
      <c r="C61" s="322"/>
      <c r="D61" s="324"/>
      <c r="E61" s="354"/>
      <c r="F61" s="355"/>
      <c r="G61" s="355"/>
      <c r="H61" s="355"/>
      <c r="I61" s="355"/>
      <c r="J61" s="355"/>
      <c r="K61" s="356"/>
      <c r="L61" s="55"/>
    </row>
    <row r="62" spans="1:13" s="33" customFormat="1" x14ac:dyDescent="0.25">
      <c r="A62" s="352"/>
      <c r="B62" s="353"/>
      <c r="C62" s="322"/>
      <c r="D62" s="324"/>
      <c r="E62" s="354"/>
      <c r="F62" s="355"/>
      <c r="G62" s="355"/>
      <c r="H62" s="355"/>
      <c r="I62" s="355"/>
      <c r="J62" s="355"/>
      <c r="K62" s="356"/>
      <c r="L62" s="55"/>
    </row>
    <row r="63" spans="1:13" x14ac:dyDescent="0.25">
      <c r="A63" s="352"/>
      <c r="B63" s="353"/>
      <c r="C63" s="322"/>
      <c r="D63" s="324"/>
      <c r="E63" s="354"/>
      <c r="F63" s="355"/>
      <c r="G63" s="355"/>
      <c r="H63" s="355"/>
      <c r="I63" s="355"/>
      <c r="J63" s="355"/>
      <c r="K63" s="356"/>
      <c r="L63" s="55"/>
      <c r="M63" s="33"/>
    </row>
    <row r="64" spans="1:13" x14ac:dyDescent="0.25">
      <c r="A64" s="352"/>
      <c r="B64" s="353"/>
      <c r="C64" s="322"/>
      <c r="D64" s="324"/>
      <c r="E64" s="354"/>
      <c r="F64" s="355"/>
      <c r="G64" s="355"/>
      <c r="H64" s="355"/>
      <c r="I64" s="355"/>
      <c r="J64" s="355"/>
      <c r="K64" s="356"/>
      <c r="L64" s="55"/>
      <c r="M64" s="33"/>
    </row>
    <row r="65" spans="1:13" x14ac:dyDescent="0.25">
      <c r="A65" s="334" t="s">
        <v>51</v>
      </c>
      <c r="B65" s="335"/>
      <c r="C65" s="335"/>
      <c r="D65" s="335"/>
      <c r="E65" s="335"/>
      <c r="F65" s="335"/>
      <c r="G65" s="335"/>
      <c r="H65" s="335"/>
      <c r="I65" s="335"/>
      <c r="J65" s="335"/>
      <c r="K65" s="336"/>
      <c r="L65" s="63">
        <f>SUM(L54:L64)</f>
        <v>26492313</v>
      </c>
    </row>
    <row r="66" spans="1:13" x14ac:dyDescent="0.25">
      <c r="A66" s="65"/>
      <c r="B66" s="66"/>
      <c r="C66" s="66"/>
      <c r="D66" s="66"/>
      <c r="E66" s="66"/>
      <c r="F66" s="66"/>
      <c r="G66" s="66"/>
      <c r="H66" s="31"/>
      <c r="I66" s="31"/>
      <c r="J66" s="31"/>
      <c r="K66" s="31"/>
      <c r="L66" s="31"/>
    </row>
    <row r="67" spans="1:13" x14ac:dyDescent="0.25">
      <c r="A67" s="48" t="s">
        <v>52</v>
      </c>
      <c r="B67" s="30"/>
      <c r="C67" s="30"/>
      <c r="D67" s="30"/>
      <c r="E67" s="30"/>
      <c r="F67" s="30"/>
      <c r="G67" s="30"/>
      <c r="H67" s="31"/>
      <c r="I67" s="31"/>
      <c r="J67" s="31"/>
      <c r="K67" s="31"/>
      <c r="L67" s="31"/>
    </row>
    <row r="68" spans="1:13" x14ac:dyDescent="0.25">
      <c r="A68" s="44"/>
      <c r="B68" s="45"/>
      <c r="C68" s="45"/>
      <c r="D68" s="45"/>
      <c r="E68" s="45"/>
      <c r="F68" s="45"/>
      <c r="G68" s="45"/>
      <c r="H68" s="31"/>
      <c r="I68" s="31"/>
      <c r="J68" s="46"/>
      <c r="K68" s="46"/>
      <c r="L68" s="31"/>
    </row>
    <row r="69" spans="1:13" x14ac:dyDescent="0.25">
      <c r="A69" s="337" t="s">
        <v>53</v>
      </c>
      <c r="B69" s="338"/>
      <c r="C69" s="337" t="s">
        <v>54</v>
      </c>
      <c r="D69" s="338"/>
      <c r="E69" s="275" t="s">
        <v>55</v>
      </c>
      <c r="F69" s="68" t="s">
        <v>37</v>
      </c>
      <c r="G69" s="339"/>
      <c r="H69" s="340"/>
      <c r="I69" s="340"/>
      <c r="J69" s="340"/>
      <c r="K69" s="341"/>
      <c r="L69" s="348" t="s">
        <v>56</v>
      </c>
    </row>
    <row r="70" spans="1:13" x14ac:dyDescent="0.25">
      <c r="A70" s="316"/>
      <c r="B70" s="317"/>
      <c r="C70" s="350" t="s">
        <v>57</v>
      </c>
      <c r="D70" s="351"/>
      <c r="E70" s="69"/>
      <c r="F70" s="44"/>
      <c r="G70" s="342"/>
      <c r="H70" s="343"/>
      <c r="I70" s="343"/>
      <c r="J70" s="343"/>
      <c r="K70" s="344"/>
      <c r="L70" s="349"/>
    </row>
    <row r="71" spans="1:13" x14ac:dyDescent="0.25">
      <c r="A71" s="310"/>
      <c r="B71" s="312"/>
      <c r="C71" s="310"/>
      <c r="D71" s="312"/>
      <c r="E71" s="70"/>
      <c r="F71" s="278"/>
      <c r="G71" s="342"/>
      <c r="H71" s="343"/>
      <c r="I71" s="343"/>
      <c r="J71" s="343"/>
      <c r="K71" s="344"/>
      <c r="L71" s="55"/>
    </row>
    <row r="72" spans="1:13" x14ac:dyDescent="0.25">
      <c r="A72" s="310"/>
      <c r="B72" s="312"/>
      <c r="C72" s="310"/>
      <c r="D72" s="312"/>
      <c r="E72" s="70"/>
      <c r="F72" s="64"/>
      <c r="G72" s="345"/>
      <c r="H72" s="346"/>
      <c r="I72" s="346"/>
      <c r="J72" s="346"/>
      <c r="K72" s="347"/>
      <c r="L72" s="72"/>
    </row>
    <row r="73" spans="1:13" x14ac:dyDescent="0.25">
      <c r="A73" s="322" t="s">
        <v>41</v>
      </c>
      <c r="B73" s="323"/>
      <c r="C73" s="323"/>
      <c r="D73" s="323"/>
      <c r="E73" s="323"/>
      <c r="F73" s="323"/>
      <c r="G73" s="323"/>
      <c r="H73" s="323"/>
      <c r="I73" s="323"/>
      <c r="J73" s="323"/>
      <c r="K73" s="324"/>
      <c r="L73" s="73">
        <f>SUM(L71:L72)</f>
        <v>0</v>
      </c>
    </row>
    <row r="74" spans="1:13" x14ac:dyDescent="0.25">
      <c r="A74" s="325"/>
      <c r="B74" s="326"/>
      <c r="C74" s="326"/>
      <c r="D74" s="326"/>
      <c r="E74" s="326"/>
      <c r="F74" s="326"/>
      <c r="G74" s="326"/>
      <c r="H74" s="326"/>
      <c r="I74" s="326"/>
      <c r="J74" s="326"/>
      <c r="K74" s="326"/>
      <c r="L74" s="326"/>
    </row>
    <row r="75" spans="1:13" x14ac:dyDescent="0.25">
      <c r="A75" s="327" t="s">
        <v>58</v>
      </c>
      <c r="B75" s="328"/>
      <c r="C75" s="328"/>
      <c r="D75" s="328"/>
      <c r="E75" s="328"/>
      <c r="F75" s="328"/>
      <c r="G75" s="328"/>
      <c r="H75" s="328"/>
      <c r="I75" s="328"/>
      <c r="J75" s="329"/>
      <c r="K75" s="330">
        <f>K9+L47-L65-L73</f>
        <v>0</v>
      </c>
      <c r="L75" s="330"/>
    </row>
    <row r="76" spans="1:13" x14ac:dyDescent="0.25">
      <c r="A76" s="331"/>
      <c r="B76" s="332"/>
      <c r="C76" s="332"/>
      <c r="D76" s="332"/>
      <c r="E76" s="332"/>
      <c r="F76" s="332"/>
      <c r="G76" s="332"/>
      <c r="H76" s="332"/>
      <c r="I76" s="332"/>
      <c r="J76" s="332"/>
      <c r="K76" s="332"/>
      <c r="L76" s="333"/>
    </row>
    <row r="77" spans="1:13" x14ac:dyDescent="0.25">
      <c r="A77" s="305" t="s">
        <v>59</v>
      </c>
      <c r="B77" s="305"/>
      <c r="C77" s="305"/>
      <c r="D77" s="305"/>
      <c r="E77" s="305"/>
      <c r="F77" s="305" t="s">
        <v>60</v>
      </c>
      <c r="G77" s="305"/>
      <c r="H77" s="305"/>
      <c r="I77" s="306"/>
      <c r="J77" s="309" t="s">
        <v>61</v>
      </c>
      <c r="K77" s="309"/>
      <c r="L77" s="309"/>
    </row>
    <row r="78" spans="1:13" x14ac:dyDescent="0.25">
      <c r="A78" s="310"/>
      <c r="B78" s="311"/>
      <c r="C78" s="311"/>
      <c r="D78" s="311"/>
      <c r="E78" s="312"/>
      <c r="F78" s="310"/>
      <c r="G78" s="311"/>
      <c r="H78" s="312"/>
      <c r="I78" s="307"/>
      <c r="J78" s="313"/>
      <c r="K78" s="314"/>
      <c r="L78" s="315"/>
      <c r="M78" s="74"/>
    </row>
    <row r="79" spans="1:13" x14ac:dyDescent="0.25">
      <c r="A79" s="316"/>
      <c r="B79" s="317"/>
      <c r="C79" s="317"/>
      <c r="D79" s="317"/>
      <c r="E79" s="318"/>
      <c r="F79" s="316"/>
      <c r="G79" s="317"/>
      <c r="H79" s="318"/>
      <c r="I79" s="308"/>
      <c r="J79" s="319"/>
      <c r="K79" s="320"/>
      <c r="L79" s="321"/>
    </row>
    <row r="80" spans="1:13" x14ac:dyDescent="0.25">
      <c r="A80" s="33"/>
      <c r="B80" s="33"/>
      <c r="C80" s="33"/>
      <c r="D80" s="33"/>
      <c r="E80" s="33"/>
      <c r="F80" s="33"/>
      <c r="G80" s="33"/>
      <c r="H80" s="75"/>
      <c r="I80" s="75"/>
      <c r="J80" s="75"/>
      <c r="K80" s="75"/>
      <c r="L80" s="75"/>
    </row>
  </sheetData>
  <mergeCells count="173">
    <mergeCell ref="E46:F46"/>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5:B25"/>
    <mergeCell ref="C25:D25"/>
    <mergeCell ref="E25:F25"/>
    <mergeCell ref="A26:B26"/>
    <mergeCell ref="C26:D26"/>
    <mergeCell ref="E26:F26"/>
    <mergeCell ref="A23:B23"/>
    <mergeCell ref="C23:D23"/>
    <mergeCell ref="E23:F23"/>
    <mergeCell ref="A24:B24"/>
    <mergeCell ref="C24:D24"/>
    <mergeCell ref="E24:F24"/>
    <mergeCell ref="A29:B29"/>
    <mergeCell ref="C29:D29"/>
    <mergeCell ref="E29:F29"/>
    <mergeCell ref="A30:B30"/>
    <mergeCell ref="C30:D30"/>
    <mergeCell ref="E30:F30"/>
    <mergeCell ref="A27:B27"/>
    <mergeCell ref="C27:D27"/>
    <mergeCell ref="E27:F27"/>
    <mergeCell ref="A28:B28"/>
    <mergeCell ref="C28:D28"/>
    <mergeCell ref="E28:F28"/>
    <mergeCell ref="A33:B33"/>
    <mergeCell ref="C33:D33"/>
    <mergeCell ref="E33:F33"/>
    <mergeCell ref="A34:B34"/>
    <mergeCell ref="C34:D34"/>
    <mergeCell ref="E34:F34"/>
    <mergeCell ref="A31:B31"/>
    <mergeCell ref="C31:D31"/>
    <mergeCell ref="E31:F31"/>
    <mergeCell ref="A32:B32"/>
    <mergeCell ref="C32:D32"/>
    <mergeCell ref="E32:F32"/>
    <mergeCell ref="A37:B37"/>
    <mergeCell ref="C37:D37"/>
    <mergeCell ref="E37:F37"/>
    <mergeCell ref="A38:B38"/>
    <mergeCell ref="C38:D38"/>
    <mergeCell ref="E38:F38"/>
    <mergeCell ref="A35:B35"/>
    <mergeCell ref="C35:D35"/>
    <mergeCell ref="E35:F35"/>
    <mergeCell ref="A36:B36"/>
    <mergeCell ref="C36:D36"/>
    <mergeCell ref="E36:F36"/>
    <mergeCell ref="L51:L53"/>
    <mergeCell ref="A41:B41"/>
    <mergeCell ref="C41:D41"/>
    <mergeCell ref="E41:F41"/>
    <mergeCell ref="A42:B42"/>
    <mergeCell ref="C42:D42"/>
    <mergeCell ref="E42:F42"/>
    <mergeCell ref="A39:B39"/>
    <mergeCell ref="C39:D39"/>
    <mergeCell ref="E39:F39"/>
    <mergeCell ref="A40:B40"/>
    <mergeCell ref="C40:D40"/>
    <mergeCell ref="E40:F40"/>
    <mergeCell ref="A43:B43"/>
    <mergeCell ref="A44:B44"/>
    <mergeCell ref="A45:B45"/>
    <mergeCell ref="A46:B46"/>
    <mergeCell ref="C43:D43"/>
    <mergeCell ref="C44:D44"/>
    <mergeCell ref="C45:D45"/>
    <mergeCell ref="C46:D46"/>
    <mergeCell ref="E43:F43"/>
    <mergeCell ref="E44:F44"/>
    <mergeCell ref="E45:F45"/>
    <mergeCell ref="A54:B54"/>
    <mergeCell ref="C54:D54"/>
    <mergeCell ref="E54:K54"/>
    <mergeCell ref="A55:B55"/>
    <mergeCell ref="C55:D55"/>
    <mergeCell ref="E55:K55"/>
    <mergeCell ref="A47:B47"/>
    <mergeCell ref="I47:K47"/>
    <mergeCell ref="A51:B53"/>
    <mergeCell ref="C51:D53"/>
    <mergeCell ref="E51:K53"/>
    <mergeCell ref="A58:B58"/>
    <mergeCell ref="C58:D58"/>
    <mergeCell ref="E58:K58"/>
    <mergeCell ref="A59:B59"/>
    <mergeCell ref="C59:D59"/>
    <mergeCell ref="E59:K59"/>
    <mergeCell ref="A56:B56"/>
    <mergeCell ref="C56:D56"/>
    <mergeCell ref="E56:K56"/>
    <mergeCell ref="A57:B57"/>
    <mergeCell ref="C57:D57"/>
    <mergeCell ref="E57:K57"/>
    <mergeCell ref="A62:B62"/>
    <mergeCell ref="C62:D62"/>
    <mergeCell ref="E62:K62"/>
    <mergeCell ref="A63:B63"/>
    <mergeCell ref="C63:D63"/>
    <mergeCell ref="E63:K63"/>
    <mergeCell ref="A60:B60"/>
    <mergeCell ref="C60:D60"/>
    <mergeCell ref="E60:K60"/>
    <mergeCell ref="A61:B61"/>
    <mergeCell ref="C61:D61"/>
    <mergeCell ref="E61:K61"/>
    <mergeCell ref="L69:L70"/>
    <mergeCell ref="A70:B70"/>
    <mergeCell ref="C70:D70"/>
    <mergeCell ref="A71:B71"/>
    <mergeCell ref="C71:D71"/>
    <mergeCell ref="A72:B72"/>
    <mergeCell ref="C72:D72"/>
    <mergeCell ref="A64:B64"/>
    <mergeCell ref="C64:D64"/>
    <mergeCell ref="E64:K64"/>
    <mergeCell ref="A65:K65"/>
    <mergeCell ref="A69:B69"/>
    <mergeCell ref="C69:D69"/>
    <mergeCell ref="G69:K72"/>
    <mergeCell ref="F78:H78"/>
    <mergeCell ref="J78:L78"/>
    <mergeCell ref="A79:E79"/>
    <mergeCell ref="F79:H79"/>
    <mergeCell ref="J79:L79"/>
    <mergeCell ref="A73:K73"/>
    <mergeCell ref="A74:L74"/>
    <mergeCell ref="A75:J75"/>
    <mergeCell ref="K75:L75"/>
    <mergeCell ref="A76:L76"/>
    <mergeCell ref="A77:E77"/>
    <mergeCell ref="F77:H77"/>
    <mergeCell ref="I77:I79"/>
    <mergeCell ref="J77:L77"/>
    <mergeCell ref="A78:E7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
  <sheetViews>
    <sheetView topLeftCell="A43" workbookViewId="0">
      <selection activeCell="C63" sqref="C63"/>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t="s">
        <v>535</v>
      </c>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84" t="s">
        <v>27</v>
      </c>
      <c r="B6" s="283" t="s">
        <v>28</v>
      </c>
      <c r="C6" s="283" t="s">
        <v>29</v>
      </c>
      <c r="D6" s="30"/>
      <c r="E6" s="30"/>
      <c r="F6" s="30"/>
      <c r="G6" s="30"/>
      <c r="H6" s="31"/>
      <c r="I6" s="31"/>
      <c r="J6" s="31"/>
      <c r="K6" s="31"/>
      <c r="L6" s="32"/>
    </row>
    <row r="7" spans="1:12" x14ac:dyDescent="0.25">
      <c r="A7" s="41" t="s">
        <v>572</v>
      </c>
      <c r="B7" s="42" t="s">
        <v>141</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86" t="s">
        <v>40</v>
      </c>
      <c r="K13" s="286" t="s">
        <v>40</v>
      </c>
      <c r="L13" s="286" t="s">
        <v>41</v>
      </c>
    </row>
    <row r="14" spans="1:12" x14ac:dyDescent="0.25">
      <c r="A14" s="396"/>
      <c r="B14" s="397"/>
      <c r="C14" s="396"/>
      <c r="D14" s="397"/>
      <c r="E14" s="361"/>
      <c r="F14" s="362"/>
      <c r="G14" s="399"/>
      <c r="H14" s="399"/>
      <c r="I14" s="399"/>
      <c r="J14" s="287" t="s">
        <v>42</v>
      </c>
      <c r="K14" s="287" t="s">
        <v>43</v>
      </c>
      <c r="L14" s="287" t="s">
        <v>44</v>
      </c>
    </row>
    <row r="15" spans="1:12" x14ac:dyDescent="0.25">
      <c r="A15" s="385">
        <v>1</v>
      </c>
      <c r="B15" s="384"/>
      <c r="C15" s="386" t="s">
        <v>158</v>
      </c>
      <c r="D15" s="386"/>
      <c r="E15" s="383" t="s">
        <v>414</v>
      </c>
      <c r="F15" s="383"/>
      <c r="G15" s="59" t="s">
        <v>26</v>
      </c>
      <c r="H15" s="55">
        <v>452200</v>
      </c>
      <c r="I15" s="56"/>
      <c r="J15" s="57"/>
      <c r="K15" s="57"/>
      <c r="L15" s="58">
        <f t="shared" ref="L15:L46" si="0">H15</f>
        <v>452200</v>
      </c>
    </row>
    <row r="16" spans="1:12" x14ac:dyDescent="0.25">
      <c r="A16" s="385">
        <v>1</v>
      </c>
      <c r="B16" s="384"/>
      <c r="C16" s="386" t="s">
        <v>77</v>
      </c>
      <c r="D16" s="386"/>
      <c r="E16" s="383" t="s">
        <v>573</v>
      </c>
      <c r="F16" s="383"/>
      <c r="G16" s="59" t="s">
        <v>26</v>
      </c>
      <c r="H16" s="55">
        <v>429700</v>
      </c>
      <c r="I16" s="56"/>
      <c r="J16" s="57"/>
      <c r="K16" s="57"/>
      <c r="L16" s="58">
        <f t="shared" si="0"/>
        <v>429700</v>
      </c>
    </row>
    <row r="17" spans="1:12" x14ac:dyDescent="0.25">
      <c r="A17" s="387" t="s">
        <v>77</v>
      </c>
      <c r="B17" s="386"/>
      <c r="C17" s="386" t="s">
        <v>273</v>
      </c>
      <c r="D17" s="386"/>
      <c r="E17" s="388" t="s">
        <v>186</v>
      </c>
      <c r="F17" s="389"/>
      <c r="G17" s="289" t="s">
        <v>26</v>
      </c>
      <c r="H17" s="60">
        <v>732957</v>
      </c>
      <c r="I17" s="56"/>
      <c r="J17" s="57"/>
      <c r="K17" s="57"/>
      <c r="L17" s="58">
        <f t="shared" si="0"/>
        <v>732957</v>
      </c>
    </row>
    <row r="18" spans="1:12" x14ac:dyDescent="0.25">
      <c r="A18" s="387" t="s">
        <v>77</v>
      </c>
      <c r="B18" s="386"/>
      <c r="C18" s="384">
        <v>12</v>
      </c>
      <c r="D18" s="384"/>
      <c r="E18" s="388" t="s">
        <v>86</v>
      </c>
      <c r="F18" s="389"/>
      <c r="G18" s="289" t="s">
        <v>26</v>
      </c>
      <c r="H18" s="55">
        <v>632225</v>
      </c>
      <c r="I18" s="56"/>
      <c r="J18" s="57"/>
      <c r="K18" s="57"/>
      <c r="L18" s="58">
        <f t="shared" si="0"/>
        <v>632225</v>
      </c>
    </row>
    <row r="19" spans="1:12" x14ac:dyDescent="0.25">
      <c r="A19" s="387" t="s">
        <v>77</v>
      </c>
      <c r="B19" s="386"/>
      <c r="C19" s="384">
        <v>2</v>
      </c>
      <c r="D19" s="384"/>
      <c r="E19" s="388" t="s">
        <v>508</v>
      </c>
      <c r="F19" s="389"/>
      <c r="G19" s="289" t="s">
        <v>26</v>
      </c>
      <c r="H19" s="55">
        <v>581500</v>
      </c>
      <c r="I19" s="56"/>
      <c r="J19" s="57"/>
      <c r="K19" s="57"/>
      <c r="L19" s="58">
        <f t="shared" si="0"/>
        <v>581500</v>
      </c>
    </row>
    <row r="20" spans="1:12" x14ac:dyDescent="0.25">
      <c r="A20" s="387" t="s">
        <v>77</v>
      </c>
      <c r="B20" s="386"/>
      <c r="C20" s="379" t="s">
        <v>80</v>
      </c>
      <c r="D20" s="380"/>
      <c r="E20" s="392" t="s">
        <v>520</v>
      </c>
      <c r="F20" s="393"/>
      <c r="G20" s="289" t="s">
        <v>26</v>
      </c>
      <c r="H20" s="55">
        <v>658800</v>
      </c>
      <c r="I20" s="56"/>
      <c r="J20" s="57"/>
      <c r="K20" s="57"/>
      <c r="L20" s="58">
        <f t="shared" si="0"/>
        <v>658800</v>
      </c>
    </row>
    <row r="21" spans="1:12" x14ac:dyDescent="0.25">
      <c r="A21" s="385">
        <v>1</v>
      </c>
      <c r="B21" s="384"/>
      <c r="C21" s="386" t="s">
        <v>206</v>
      </c>
      <c r="D21" s="386"/>
      <c r="E21" s="383" t="s">
        <v>402</v>
      </c>
      <c r="F21" s="383"/>
      <c r="G21" s="59" t="s">
        <v>26</v>
      </c>
      <c r="H21" s="55">
        <v>1091100</v>
      </c>
      <c r="I21" s="56"/>
      <c r="J21" s="57"/>
      <c r="K21" s="57"/>
      <c r="L21" s="58">
        <f t="shared" si="0"/>
        <v>1091100</v>
      </c>
    </row>
    <row r="22" spans="1:12" x14ac:dyDescent="0.25">
      <c r="A22" s="375">
        <v>1</v>
      </c>
      <c r="B22" s="376"/>
      <c r="C22" s="322">
        <v>6</v>
      </c>
      <c r="D22" s="324"/>
      <c r="E22" s="383" t="s">
        <v>393</v>
      </c>
      <c r="F22" s="383"/>
      <c r="G22" s="59" t="s">
        <v>26</v>
      </c>
      <c r="H22" s="55">
        <v>973627</v>
      </c>
      <c r="I22" s="56"/>
      <c r="J22" s="57"/>
      <c r="K22" s="57"/>
      <c r="L22" s="58">
        <f t="shared" si="0"/>
        <v>973627</v>
      </c>
    </row>
    <row r="23" spans="1:12" x14ac:dyDescent="0.25">
      <c r="A23" s="375">
        <v>1</v>
      </c>
      <c r="B23" s="376"/>
      <c r="C23" s="384">
        <v>1</v>
      </c>
      <c r="D23" s="384"/>
      <c r="E23" s="383" t="s">
        <v>574</v>
      </c>
      <c r="F23" s="383"/>
      <c r="G23" s="59" t="s">
        <v>26</v>
      </c>
      <c r="H23" s="55">
        <v>803800</v>
      </c>
      <c r="I23" s="56"/>
      <c r="J23" s="57"/>
      <c r="K23" s="57"/>
      <c r="L23" s="58">
        <f t="shared" si="0"/>
        <v>803800</v>
      </c>
    </row>
    <row r="24" spans="1:12" x14ac:dyDescent="0.25">
      <c r="A24" s="375">
        <v>1</v>
      </c>
      <c r="B24" s="376"/>
      <c r="C24" s="379" t="s">
        <v>77</v>
      </c>
      <c r="D24" s="380"/>
      <c r="E24" s="392" t="s">
        <v>576</v>
      </c>
      <c r="F24" s="393"/>
      <c r="G24" s="59" t="s">
        <v>26</v>
      </c>
      <c r="H24" s="55">
        <v>1021400</v>
      </c>
      <c r="I24" s="56"/>
      <c r="J24" s="57"/>
      <c r="K24" s="57"/>
      <c r="L24" s="58">
        <f t="shared" si="0"/>
        <v>1021400</v>
      </c>
    </row>
    <row r="25" spans="1:12" x14ac:dyDescent="0.25">
      <c r="A25" s="375">
        <v>1</v>
      </c>
      <c r="B25" s="376"/>
      <c r="C25" s="379" t="s">
        <v>77</v>
      </c>
      <c r="D25" s="380"/>
      <c r="E25" s="392" t="s">
        <v>577</v>
      </c>
      <c r="F25" s="393"/>
      <c r="G25" s="59" t="s">
        <v>26</v>
      </c>
      <c r="H25" s="55">
        <v>11235</v>
      </c>
      <c r="I25" s="56"/>
      <c r="J25" s="57"/>
      <c r="K25" s="57"/>
      <c r="L25" s="58">
        <f t="shared" si="0"/>
        <v>11235</v>
      </c>
    </row>
    <row r="26" spans="1:12" x14ac:dyDescent="0.25">
      <c r="A26" s="375">
        <v>1</v>
      </c>
      <c r="B26" s="376"/>
      <c r="C26" s="379" t="s">
        <v>265</v>
      </c>
      <c r="D26" s="380"/>
      <c r="E26" s="392" t="s">
        <v>276</v>
      </c>
      <c r="F26" s="393"/>
      <c r="G26" s="59" t="s">
        <v>26</v>
      </c>
      <c r="H26" s="55">
        <v>949822</v>
      </c>
      <c r="I26" s="56"/>
      <c r="J26" s="57"/>
      <c r="K26" s="57"/>
      <c r="L26" s="58">
        <f t="shared" si="0"/>
        <v>949822</v>
      </c>
    </row>
    <row r="27" spans="1:12" x14ac:dyDescent="0.25">
      <c r="A27" s="375">
        <v>1</v>
      </c>
      <c r="B27" s="376"/>
      <c r="C27" s="379" t="s">
        <v>217</v>
      </c>
      <c r="D27" s="380"/>
      <c r="E27" s="392" t="s">
        <v>276</v>
      </c>
      <c r="F27" s="393"/>
      <c r="G27" s="59" t="s">
        <v>26</v>
      </c>
      <c r="H27" s="55">
        <v>922858</v>
      </c>
      <c r="I27" s="56"/>
      <c r="J27" s="57"/>
      <c r="K27" s="57"/>
      <c r="L27" s="58">
        <f t="shared" si="0"/>
        <v>922858</v>
      </c>
    </row>
    <row r="28" spans="1:12" x14ac:dyDescent="0.25">
      <c r="A28" s="375">
        <v>1</v>
      </c>
      <c r="B28" s="376"/>
      <c r="C28" s="379" t="s">
        <v>74</v>
      </c>
      <c r="D28" s="380"/>
      <c r="E28" s="392" t="s">
        <v>248</v>
      </c>
      <c r="F28" s="393"/>
      <c r="G28" s="59" t="s">
        <v>26</v>
      </c>
      <c r="H28" s="55">
        <v>794651</v>
      </c>
      <c r="I28" s="56"/>
      <c r="J28" s="57"/>
      <c r="K28" s="57"/>
      <c r="L28" s="58">
        <f t="shared" si="0"/>
        <v>794651</v>
      </c>
    </row>
    <row r="29" spans="1:12" x14ac:dyDescent="0.25">
      <c r="A29" s="375">
        <v>1</v>
      </c>
      <c r="B29" s="376"/>
      <c r="C29" s="379" t="s">
        <v>74</v>
      </c>
      <c r="D29" s="380"/>
      <c r="E29" s="392" t="s">
        <v>222</v>
      </c>
      <c r="F29" s="393"/>
      <c r="G29" s="59" t="s">
        <v>26</v>
      </c>
      <c r="H29" s="55">
        <v>668606</v>
      </c>
      <c r="I29" s="56"/>
      <c r="J29" s="57"/>
      <c r="K29" s="57"/>
      <c r="L29" s="58">
        <f t="shared" si="0"/>
        <v>668606</v>
      </c>
    </row>
    <row r="30" spans="1:12" x14ac:dyDescent="0.25">
      <c r="A30" s="375">
        <v>1</v>
      </c>
      <c r="B30" s="376"/>
      <c r="C30" s="379" t="s">
        <v>265</v>
      </c>
      <c r="D30" s="380"/>
      <c r="E30" s="392" t="s">
        <v>384</v>
      </c>
      <c r="F30" s="393"/>
      <c r="G30" s="59" t="s">
        <v>26</v>
      </c>
      <c r="H30" s="55">
        <v>841000</v>
      </c>
      <c r="I30" s="56"/>
      <c r="J30" s="57"/>
      <c r="K30" s="57"/>
      <c r="L30" s="58">
        <f t="shared" si="0"/>
        <v>841000</v>
      </c>
    </row>
    <row r="31" spans="1:12" x14ac:dyDescent="0.25">
      <c r="A31" s="375">
        <v>1</v>
      </c>
      <c r="B31" s="376"/>
      <c r="C31" s="379" t="s">
        <v>206</v>
      </c>
      <c r="D31" s="380"/>
      <c r="E31" s="392" t="s">
        <v>392</v>
      </c>
      <c r="F31" s="393"/>
      <c r="G31" s="59" t="s">
        <v>26</v>
      </c>
      <c r="H31" s="55">
        <v>588800</v>
      </c>
      <c r="I31" s="56"/>
      <c r="J31" s="57"/>
      <c r="K31" s="57"/>
      <c r="L31" s="58">
        <f t="shared" si="0"/>
        <v>588800</v>
      </c>
    </row>
    <row r="32" spans="1:12" x14ac:dyDescent="0.25">
      <c r="A32" s="375">
        <v>1</v>
      </c>
      <c r="B32" s="376"/>
      <c r="C32" s="379" t="s">
        <v>142</v>
      </c>
      <c r="D32" s="380"/>
      <c r="E32" s="392" t="s">
        <v>491</v>
      </c>
      <c r="F32" s="393"/>
      <c r="G32" s="59" t="s">
        <v>26</v>
      </c>
      <c r="H32" s="55">
        <v>614700</v>
      </c>
      <c r="I32" s="56"/>
      <c r="J32" s="57"/>
      <c r="K32" s="57"/>
      <c r="L32" s="58">
        <f t="shared" si="0"/>
        <v>614700</v>
      </c>
    </row>
    <row r="33" spans="1:12" x14ac:dyDescent="0.25">
      <c r="A33" s="375">
        <v>1</v>
      </c>
      <c r="B33" s="376"/>
      <c r="C33" s="379" t="s">
        <v>80</v>
      </c>
      <c r="D33" s="380"/>
      <c r="E33" s="392" t="s">
        <v>524</v>
      </c>
      <c r="F33" s="393"/>
      <c r="G33" s="59" t="s">
        <v>26</v>
      </c>
      <c r="H33" s="55">
        <v>242200</v>
      </c>
      <c r="I33" s="56"/>
      <c r="J33" s="57"/>
      <c r="K33" s="57"/>
      <c r="L33" s="58">
        <f t="shared" si="0"/>
        <v>242200</v>
      </c>
    </row>
    <row r="34" spans="1:12" x14ac:dyDescent="0.25">
      <c r="A34" s="375">
        <v>1</v>
      </c>
      <c r="B34" s="376"/>
      <c r="C34" s="379" t="s">
        <v>77</v>
      </c>
      <c r="D34" s="380"/>
      <c r="E34" s="392" t="s">
        <v>578</v>
      </c>
      <c r="F34" s="393"/>
      <c r="G34" s="59" t="s">
        <v>26</v>
      </c>
      <c r="H34" s="55">
        <v>2383200</v>
      </c>
      <c r="I34" s="56"/>
      <c r="J34" s="57"/>
      <c r="K34" s="57"/>
      <c r="L34" s="58">
        <f t="shared" si="0"/>
        <v>2383200</v>
      </c>
    </row>
    <row r="35" spans="1:12" x14ac:dyDescent="0.25">
      <c r="A35" s="375">
        <v>1</v>
      </c>
      <c r="B35" s="376"/>
      <c r="C35" s="379" t="s">
        <v>188</v>
      </c>
      <c r="D35" s="380"/>
      <c r="E35" s="392" t="s">
        <v>477</v>
      </c>
      <c r="F35" s="393"/>
      <c r="G35" s="59" t="s">
        <v>26</v>
      </c>
      <c r="H35" s="55">
        <v>614700</v>
      </c>
      <c r="I35" s="56"/>
      <c r="J35" s="57"/>
      <c r="K35" s="57"/>
      <c r="L35" s="58">
        <f t="shared" si="0"/>
        <v>614700</v>
      </c>
    </row>
    <row r="36" spans="1:12" x14ac:dyDescent="0.25">
      <c r="A36" s="375">
        <v>1</v>
      </c>
      <c r="B36" s="376"/>
      <c r="C36" s="379" t="s">
        <v>142</v>
      </c>
      <c r="D36" s="380"/>
      <c r="E36" s="392" t="s">
        <v>492</v>
      </c>
      <c r="F36" s="393"/>
      <c r="G36" s="59" t="s">
        <v>26</v>
      </c>
      <c r="H36" s="55">
        <v>1617200</v>
      </c>
      <c r="I36" s="56"/>
      <c r="J36" s="57"/>
      <c r="K36" s="57"/>
      <c r="L36" s="58">
        <f t="shared" si="0"/>
        <v>1617200</v>
      </c>
    </row>
    <row r="37" spans="1:12" x14ac:dyDescent="0.25">
      <c r="A37" s="375">
        <v>1</v>
      </c>
      <c r="B37" s="376"/>
      <c r="C37" s="379" t="s">
        <v>273</v>
      </c>
      <c r="D37" s="380"/>
      <c r="E37" s="392" t="s">
        <v>227</v>
      </c>
      <c r="F37" s="393"/>
      <c r="G37" s="59" t="s">
        <v>26</v>
      </c>
      <c r="H37" s="55">
        <v>578500</v>
      </c>
      <c r="I37" s="56"/>
      <c r="J37" s="57"/>
      <c r="K37" s="57"/>
      <c r="L37" s="58">
        <f t="shared" si="0"/>
        <v>578500</v>
      </c>
    </row>
    <row r="38" spans="1:12" x14ac:dyDescent="0.25">
      <c r="A38" s="375">
        <v>1</v>
      </c>
      <c r="B38" s="376"/>
      <c r="C38" s="379" t="s">
        <v>140</v>
      </c>
      <c r="D38" s="380"/>
      <c r="E38" s="392" t="s">
        <v>194</v>
      </c>
      <c r="F38" s="393"/>
      <c r="G38" s="59" t="s">
        <v>26</v>
      </c>
      <c r="H38" s="55">
        <v>728700</v>
      </c>
      <c r="I38" s="56"/>
      <c r="J38" s="57"/>
      <c r="K38" s="57"/>
      <c r="L38" s="58">
        <f t="shared" si="0"/>
        <v>728700</v>
      </c>
    </row>
    <row r="39" spans="1:12" x14ac:dyDescent="0.25">
      <c r="A39" s="375">
        <v>1</v>
      </c>
      <c r="B39" s="376"/>
      <c r="C39" s="379" t="s">
        <v>142</v>
      </c>
      <c r="D39" s="380"/>
      <c r="E39" s="392" t="s">
        <v>490</v>
      </c>
      <c r="F39" s="393"/>
      <c r="G39" s="59" t="s">
        <v>26</v>
      </c>
      <c r="H39" s="55">
        <v>407700</v>
      </c>
      <c r="I39" s="56"/>
      <c r="J39" s="57"/>
      <c r="K39" s="57"/>
      <c r="L39" s="58">
        <f t="shared" si="0"/>
        <v>407700</v>
      </c>
    </row>
    <row r="40" spans="1:12" x14ac:dyDescent="0.25">
      <c r="A40" s="375">
        <v>1</v>
      </c>
      <c r="B40" s="376"/>
      <c r="C40" s="379" t="s">
        <v>140</v>
      </c>
      <c r="D40" s="380"/>
      <c r="E40" s="392" t="s">
        <v>187</v>
      </c>
      <c r="F40" s="393"/>
      <c r="G40" s="59" t="s">
        <v>26</v>
      </c>
      <c r="H40" s="55">
        <v>804500</v>
      </c>
      <c r="I40" s="56"/>
      <c r="J40" s="57"/>
      <c r="K40" s="57"/>
      <c r="L40" s="58">
        <f t="shared" si="0"/>
        <v>804500</v>
      </c>
    </row>
    <row r="41" spans="1:12" x14ac:dyDescent="0.25">
      <c r="A41" s="375">
        <v>1</v>
      </c>
      <c r="B41" s="376"/>
      <c r="C41" s="379" t="s">
        <v>77</v>
      </c>
      <c r="D41" s="380"/>
      <c r="E41" s="392" t="s">
        <v>579</v>
      </c>
      <c r="F41" s="393"/>
      <c r="G41" s="59" t="s">
        <v>26</v>
      </c>
      <c r="H41" s="55">
        <v>407700</v>
      </c>
      <c r="I41" s="56"/>
      <c r="J41" s="57"/>
      <c r="K41" s="57"/>
      <c r="L41" s="58">
        <f t="shared" si="0"/>
        <v>407700</v>
      </c>
    </row>
    <row r="42" spans="1:12" x14ac:dyDescent="0.25">
      <c r="A42" s="375">
        <v>1</v>
      </c>
      <c r="B42" s="376"/>
      <c r="C42" s="379" t="s">
        <v>142</v>
      </c>
      <c r="D42" s="380"/>
      <c r="E42" s="381" t="s">
        <v>497</v>
      </c>
      <c r="F42" s="382"/>
      <c r="G42" s="59" t="s">
        <v>26</v>
      </c>
      <c r="H42" s="55">
        <v>1971000</v>
      </c>
      <c r="I42" s="56"/>
      <c r="J42" s="57"/>
      <c r="K42" s="57"/>
      <c r="L42" s="58">
        <f t="shared" si="0"/>
        <v>1971000</v>
      </c>
    </row>
    <row r="43" spans="1:12" x14ac:dyDescent="0.25">
      <c r="A43" s="375">
        <v>1</v>
      </c>
      <c r="B43" s="376"/>
      <c r="C43" s="379" t="s">
        <v>80</v>
      </c>
      <c r="D43" s="380"/>
      <c r="E43" s="381" t="s">
        <v>555</v>
      </c>
      <c r="F43" s="382"/>
      <c r="G43" s="289" t="s">
        <v>26</v>
      </c>
      <c r="H43" s="60">
        <v>1107200</v>
      </c>
      <c r="I43" s="56"/>
      <c r="J43" s="57"/>
      <c r="K43" s="57"/>
      <c r="L43" s="58">
        <f t="shared" si="0"/>
        <v>1107200</v>
      </c>
    </row>
    <row r="44" spans="1:12" x14ac:dyDescent="0.25">
      <c r="A44" s="375">
        <v>1</v>
      </c>
      <c r="B44" s="376"/>
      <c r="C44" s="322">
        <v>4</v>
      </c>
      <c r="D44" s="324"/>
      <c r="E44" s="383" t="s">
        <v>481</v>
      </c>
      <c r="F44" s="383"/>
      <c r="G44" s="289" t="s">
        <v>26</v>
      </c>
      <c r="H44" s="60">
        <v>1072700</v>
      </c>
      <c r="I44" s="56"/>
      <c r="J44" s="57"/>
      <c r="K44" s="57"/>
      <c r="L44" s="58">
        <f t="shared" si="0"/>
        <v>1072700</v>
      </c>
    </row>
    <row r="45" spans="1:12" x14ac:dyDescent="0.25">
      <c r="A45" s="375">
        <v>1</v>
      </c>
      <c r="B45" s="376"/>
      <c r="C45" s="379" t="s">
        <v>80</v>
      </c>
      <c r="D45" s="380"/>
      <c r="E45" s="377" t="s">
        <v>561</v>
      </c>
      <c r="F45" s="378"/>
      <c r="G45" s="289" t="s">
        <v>26</v>
      </c>
      <c r="H45" s="60">
        <v>887529</v>
      </c>
      <c r="I45" s="56"/>
      <c r="J45" s="57"/>
      <c r="K45" s="57"/>
      <c r="L45" s="58">
        <f t="shared" si="0"/>
        <v>887529</v>
      </c>
    </row>
    <row r="46" spans="1:12" x14ac:dyDescent="0.25">
      <c r="A46" s="375">
        <v>1</v>
      </c>
      <c r="B46" s="376"/>
      <c r="C46" s="411" t="s">
        <v>78</v>
      </c>
      <c r="D46" s="412"/>
      <c r="E46" s="381" t="s">
        <v>134</v>
      </c>
      <c r="F46" s="382"/>
      <c r="G46" s="289" t="s">
        <v>26</v>
      </c>
      <c r="H46" s="60">
        <v>320559</v>
      </c>
      <c r="I46" s="56"/>
      <c r="J46" s="57"/>
      <c r="K46" s="57"/>
      <c r="L46" s="58">
        <f t="shared" si="0"/>
        <v>320559</v>
      </c>
    </row>
    <row r="47" spans="1:12" x14ac:dyDescent="0.25">
      <c r="A47" s="322"/>
      <c r="B47" s="324"/>
      <c r="C47" s="61" t="s">
        <v>45</v>
      </c>
      <c r="D47" s="62"/>
      <c r="E47" s="62"/>
      <c r="F47" s="62"/>
      <c r="G47" s="62"/>
      <c r="H47" s="63">
        <f>SUM(H15:H46)</f>
        <v>25912369</v>
      </c>
      <c r="I47" s="334"/>
      <c r="J47" s="335"/>
      <c r="K47" s="336"/>
      <c r="L47" s="63">
        <f>SUM(L15:L46)</f>
        <v>25912369</v>
      </c>
    </row>
    <row r="48" spans="1:12" x14ac:dyDescent="0.25">
      <c r="A48" s="64"/>
      <c r="B48" s="38"/>
      <c r="C48" s="29"/>
      <c r="D48" s="30"/>
      <c r="E48" s="30"/>
      <c r="F48" s="30"/>
      <c r="G48" s="30"/>
      <c r="H48" s="31"/>
      <c r="I48" s="31"/>
      <c r="J48" s="31"/>
      <c r="K48" s="31"/>
      <c r="L48" s="32"/>
    </row>
    <row r="49" spans="1:13" x14ac:dyDescent="0.25">
      <c r="A49" s="48" t="s">
        <v>46</v>
      </c>
      <c r="B49" s="38"/>
      <c r="C49" s="29"/>
      <c r="D49" s="30"/>
      <c r="E49" s="30"/>
      <c r="F49" s="30"/>
      <c r="G49" s="30"/>
      <c r="H49" s="31"/>
      <c r="I49" s="31"/>
      <c r="J49" s="31"/>
      <c r="K49" s="31"/>
      <c r="L49" s="32"/>
    </row>
    <row r="50" spans="1:13" x14ac:dyDescent="0.25">
      <c r="A50" s="48"/>
      <c r="B50" s="30"/>
      <c r="C50" s="30"/>
      <c r="D50" s="30"/>
      <c r="E50" s="30"/>
      <c r="F50" s="30"/>
      <c r="G50" s="30"/>
      <c r="H50" s="31"/>
      <c r="I50" s="31"/>
      <c r="J50" s="31"/>
      <c r="K50" s="31"/>
      <c r="L50" s="32"/>
    </row>
    <row r="51" spans="1:13" x14ac:dyDescent="0.25">
      <c r="A51" s="357" t="s">
        <v>47</v>
      </c>
      <c r="B51" s="358"/>
      <c r="C51" s="363" t="s">
        <v>48</v>
      </c>
      <c r="D51" s="364"/>
      <c r="E51" s="357" t="s">
        <v>49</v>
      </c>
      <c r="F51" s="369"/>
      <c r="G51" s="369"/>
      <c r="H51" s="369"/>
      <c r="I51" s="369"/>
      <c r="J51" s="369"/>
      <c r="K51" s="358"/>
      <c r="L51" s="372" t="s">
        <v>50</v>
      </c>
    </row>
    <row r="52" spans="1:13" x14ac:dyDescent="0.25">
      <c r="A52" s="359"/>
      <c r="B52" s="360"/>
      <c r="C52" s="365"/>
      <c r="D52" s="366"/>
      <c r="E52" s="359"/>
      <c r="F52" s="370"/>
      <c r="G52" s="370"/>
      <c r="H52" s="370"/>
      <c r="I52" s="370"/>
      <c r="J52" s="370"/>
      <c r="K52" s="360"/>
      <c r="L52" s="373"/>
    </row>
    <row r="53" spans="1:13" x14ac:dyDescent="0.25">
      <c r="A53" s="361"/>
      <c r="B53" s="362"/>
      <c r="C53" s="367"/>
      <c r="D53" s="368"/>
      <c r="E53" s="361"/>
      <c r="F53" s="371"/>
      <c r="G53" s="371"/>
      <c r="H53" s="371"/>
      <c r="I53" s="371"/>
      <c r="J53" s="371"/>
      <c r="K53" s="362"/>
      <c r="L53" s="374"/>
    </row>
    <row r="54" spans="1:13" x14ac:dyDescent="0.25">
      <c r="A54" s="352">
        <v>46197</v>
      </c>
      <c r="B54" s="353"/>
      <c r="C54" s="322" t="s">
        <v>100</v>
      </c>
      <c r="D54" s="324"/>
      <c r="E54" s="354" t="s">
        <v>575</v>
      </c>
      <c r="F54" s="355"/>
      <c r="G54" s="355"/>
      <c r="H54" s="355"/>
      <c r="I54" s="355"/>
      <c r="J54" s="355"/>
      <c r="K54" s="356"/>
      <c r="L54" s="55">
        <v>40000</v>
      </c>
    </row>
    <row r="55" spans="1:13" x14ac:dyDescent="0.25">
      <c r="A55" s="352">
        <v>46197</v>
      </c>
      <c r="B55" s="353"/>
      <c r="C55" s="322" t="s">
        <v>100</v>
      </c>
      <c r="D55" s="324"/>
      <c r="E55" s="354" t="s">
        <v>244</v>
      </c>
      <c r="F55" s="355"/>
      <c r="G55" s="355"/>
      <c r="H55" s="355"/>
      <c r="I55" s="355"/>
      <c r="J55" s="355"/>
      <c r="K55" s="356"/>
      <c r="L55" s="55">
        <v>19932369</v>
      </c>
    </row>
    <row r="56" spans="1:13" x14ac:dyDescent="0.25">
      <c r="A56" s="352">
        <v>46203</v>
      </c>
      <c r="B56" s="353"/>
      <c r="C56" s="322">
        <v>217</v>
      </c>
      <c r="D56" s="324"/>
      <c r="E56" s="354" t="s">
        <v>580</v>
      </c>
      <c r="F56" s="355"/>
      <c r="G56" s="355"/>
      <c r="H56" s="355"/>
      <c r="I56" s="355"/>
      <c r="J56" s="355"/>
      <c r="K56" s="356"/>
      <c r="L56" s="55">
        <v>5940000</v>
      </c>
    </row>
    <row r="57" spans="1:13" x14ac:dyDescent="0.25">
      <c r="A57" s="352"/>
      <c r="B57" s="353"/>
      <c r="C57" s="322"/>
      <c r="D57" s="324"/>
      <c r="E57" s="354"/>
      <c r="F57" s="355"/>
      <c r="G57" s="355"/>
      <c r="H57" s="355"/>
      <c r="I57" s="355"/>
      <c r="J57" s="355"/>
      <c r="K57" s="356"/>
      <c r="L57" s="55"/>
    </row>
    <row r="58" spans="1:13" x14ac:dyDescent="0.25">
      <c r="A58" s="352"/>
      <c r="B58" s="353"/>
      <c r="C58" s="322"/>
      <c r="D58" s="324"/>
      <c r="E58" s="354"/>
      <c r="F58" s="355"/>
      <c r="G58" s="355"/>
      <c r="H58" s="355"/>
      <c r="I58" s="355"/>
      <c r="J58" s="355"/>
      <c r="K58" s="356"/>
      <c r="L58" s="55"/>
    </row>
    <row r="59" spans="1:13" x14ac:dyDescent="0.25">
      <c r="A59" s="352"/>
      <c r="B59" s="353"/>
      <c r="C59" s="322"/>
      <c r="D59" s="324"/>
      <c r="E59" s="354"/>
      <c r="F59" s="355"/>
      <c r="G59" s="355"/>
      <c r="H59" s="355"/>
      <c r="I59" s="355"/>
      <c r="J59" s="355"/>
      <c r="K59" s="356"/>
      <c r="L59" s="55"/>
    </row>
    <row r="60" spans="1:13" x14ac:dyDescent="0.25">
      <c r="A60" s="352"/>
      <c r="B60" s="353"/>
      <c r="C60" s="322"/>
      <c r="D60" s="324"/>
      <c r="E60" s="354"/>
      <c r="F60" s="355"/>
      <c r="G60" s="355"/>
      <c r="H60" s="355"/>
      <c r="I60" s="355"/>
      <c r="J60" s="355"/>
      <c r="K60" s="356"/>
      <c r="L60" s="55"/>
      <c r="M60" s="33"/>
    </row>
    <row r="61" spans="1:13" x14ac:dyDescent="0.25">
      <c r="A61" s="334" t="s">
        <v>51</v>
      </c>
      <c r="B61" s="335"/>
      <c r="C61" s="335"/>
      <c r="D61" s="335"/>
      <c r="E61" s="335"/>
      <c r="F61" s="335"/>
      <c r="G61" s="335"/>
      <c r="H61" s="335"/>
      <c r="I61" s="335"/>
      <c r="J61" s="335"/>
      <c r="K61" s="336"/>
      <c r="L61" s="63">
        <f>SUM(L54:L60)</f>
        <v>25912369</v>
      </c>
    </row>
    <row r="62" spans="1:13" x14ac:dyDescent="0.25">
      <c r="A62" s="65"/>
      <c r="B62" s="66"/>
      <c r="C62" s="66"/>
      <c r="D62" s="66"/>
      <c r="E62" s="66"/>
      <c r="F62" s="66"/>
      <c r="G62" s="66"/>
      <c r="H62" s="31"/>
      <c r="I62" s="31"/>
      <c r="J62" s="31"/>
      <c r="K62" s="31"/>
      <c r="L62" s="31"/>
    </row>
    <row r="63" spans="1:13" x14ac:dyDescent="0.25">
      <c r="A63" s="48" t="s">
        <v>52</v>
      </c>
      <c r="B63" s="30"/>
      <c r="C63" s="30"/>
      <c r="D63" s="30"/>
      <c r="E63" s="30"/>
      <c r="F63" s="30"/>
      <c r="G63" s="30"/>
      <c r="H63" s="31"/>
      <c r="I63" s="31"/>
      <c r="J63" s="31"/>
      <c r="K63" s="31"/>
      <c r="L63" s="31"/>
    </row>
    <row r="64" spans="1:13" x14ac:dyDescent="0.25">
      <c r="A64" s="44"/>
      <c r="B64" s="45"/>
      <c r="C64" s="45"/>
      <c r="D64" s="45"/>
      <c r="E64" s="45"/>
      <c r="F64" s="45"/>
      <c r="G64" s="45"/>
      <c r="H64" s="31"/>
      <c r="I64" s="31"/>
      <c r="J64" s="46"/>
      <c r="K64" s="46"/>
      <c r="L64" s="31"/>
    </row>
    <row r="65" spans="1:13" x14ac:dyDescent="0.25">
      <c r="A65" s="337" t="s">
        <v>53</v>
      </c>
      <c r="B65" s="338"/>
      <c r="C65" s="337" t="s">
        <v>54</v>
      </c>
      <c r="D65" s="338"/>
      <c r="E65" s="285" t="s">
        <v>55</v>
      </c>
      <c r="F65" s="68" t="s">
        <v>37</v>
      </c>
      <c r="G65" s="339"/>
      <c r="H65" s="340"/>
      <c r="I65" s="340"/>
      <c r="J65" s="340"/>
      <c r="K65" s="341"/>
      <c r="L65" s="348" t="s">
        <v>56</v>
      </c>
    </row>
    <row r="66" spans="1:13" x14ac:dyDescent="0.25">
      <c r="A66" s="316"/>
      <c r="B66" s="317"/>
      <c r="C66" s="350" t="s">
        <v>57</v>
      </c>
      <c r="D66" s="351"/>
      <c r="E66" s="69"/>
      <c r="F66" s="44"/>
      <c r="G66" s="342"/>
      <c r="H66" s="343"/>
      <c r="I66" s="343"/>
      <c r="J66" s="343"/>
      <c r="K66" s="344"/>
      <c r="L66" s="349"/>
    </row>
    <row r="67" spans="1:13" x14ac:dyDescent="0.25">
      <c r="A67" s="310"/>
      <c r="B67" s="312"/>
      <c r="C67" s="310"/>
      <c r="D67" s="312"/>
      <c r="E67" s="70"/>
      <c r="F67" s="288"/>
      <c r="G67" s="342"/>
      <c r="H67" s="343"/>
      <c r="I67" s="343"/>
      <c r="J67" s="343"/>
      <c r="K67" s="344"/>
      <c r="L67" s="55"/>
    </row>
    <row r="68" spans="1:13" x14ac:dyDescent="0.25">
      <c r="A68" s="310"/>
      <c r="B68" s="312"/>
      <c r="C68" s="310"/>
      <c r="D68" s="312"/>
      <c r="E68" s="70"/>
      <c r="F68" s="64"/>
      <c r="G68" s="345"/>
      <c r="H68" s="346"/>
      <c r="I68" s="346"/>
      <c r="J68" s="346"/>
      <c r="K68" s="347"/>
      <c r="L68" s="72"/>
    </row>
    <row r="69" spans="1:13" x14ac:dyDescent="0.25">
      <c r="A69" s="322" t="s">
        <v>41</v>
      </c>
      <c r="B69" s="323"/>
      <c r="C69" s="323"/>
      <c r="D69" s="323"/>
      <c r="E69" s="323"/>
      <c r="F69" s="323"/>
      <c r="G69" s="323"/>
      <c r="H69" s="323"/>
      <c r="I69" s="323"/>
      <c r="J69" s="323"/>
      <c r="K69" s="324"/>
      <c r="L69" s="73">
        <f>SUM(L67:L68)</f>
        <v>0</v>
      </c>
    </row>
    <row r="70" spans="1:13" x14ac:dyDescent="0.25">
      <c r="A70" s="325"/>
      <c r="B70" s="326"/>
      <c r="C70" s="326"/>
      <c r="D70" s="326"/>
      <c r="E70" s="326"/>
      <c r="F70" s="326"/>
      <c r="G70" s="326"/>
      <c r="H70" s="326"/>
      <c r="I70" s="326"/>
      <c r="J70" s="326"/>
      <c r="K70" s="326"/>
      <c r="L70" s="326"/>
    </row>
    <row r="71" spans="1:13" x14ac:dyDescent="0.25">
      <c r="A71" s="327" t="s">
        <v>58</v>
      </c>
      <c r="B71" s="328"/>
      <c r="C71" s="328"/>
      <c r="D71" s="328"/>
      <c r="E71" s="328"/>
      <c r="F71" s="328"/>
      <c r="G71" s="328"/>
      <c r="H71" s="328"/>
      <c r="I71" s="328"/>
      <c r="J71" s="329"/>
      <c r="K71" s="330">
        <f>K9+L47-L61-L69</f>
        <v>0</v>
      </c>
      <c r="L71" s="330"/>
    </row>
    <row r="72" spans="1:13" x14ac:dyDescent="0.25">
      <c r="A72" s="331"/>
      <c r="B72" s="332"/>
      <c r="C72" s="332"/>
      <c r="D72" s="332"/>
      <c r="E72" s="332"/>
      <c r="F72" s="332"/>
      <c r="G72" s="332"/>
      <c r="H72" s="332"/>
      <c r="I72" s="332"/>
      <c r="J72" s="332"/>
      <c r="K72" s="332"/>
      <c r="L72" s="333"/>
    </row>
    <row r="73" spans="1:13" x14ac:dyDescent="0.25">
      <c r="A73" s="305" t="s">
        <v>59</v>
      </c>
      <c r="B73" s="305"/>
      <c r="C73" s="305"/>
      <c r="D73" s="305"/>
      <c r="E73" s="305"/>
      <c r="F73" s="305" t="s">
        <v>60</v>
      </c>
      <c r="G73" s="305"/>
      <c r="H73" s="305"/>
      <c r="I73" s="306"/>
      <c r="J73" s="309" t="s">
        <v>61</v>
      </c>
      <c r="K73" s="309"/>
      <c r="L73" s="309"/>
    </row>
    <row r="74" spans="1:13" x14ac:dyDescent="0.25">
      <c r="A74" s="310"/>
      <c r="B74" s="311"/>
      <c r="C74" s="311"/>
      <c r="D74" s="311"/>
      <c r="E74" s="312"/>
      <c r="F74" s="310"/>
      <c r="G74" s="311"/>
      <c r="H74" s="312"/>
      <c r="I74" s="307"/>
      <c r="J74" s="313"/>
      <c r="K74" s="314"/>
      <c r="L74" s="315"/>
      <c r="M74" s="74"/>
    </row>
    <row r="75" spans="1:13" x14ac:dyDescent="0.25">
      <c r="A75" s="316"/>
      <c r="B75" s="317"/>
      <c r="C75" s="317"/>
      <c r="D75" s="317"/>
      <c r="E75" s="318"/>
      <c r="F75" s="316"/>
      <c r="G75" s="317"/>
      <c r="H75" s="318"/>
      <c r="I75" s="308"/>
      <c r="J75" s="319"/>
      <c r="K75" s="320"/>
      <c r="L75" s="321"/>
    </row>
    <row r="76" spans="1:13" x14ac:dyDescent="0.25">
      <c r="A76" s="33"/>
      <c r="B76" s="33"/>
      <c r="C76" s="33"/>
      <c r="D76" s="33"/>
      <c r="E76" s="33"/>
      <c r="F76" s="33"/>
      <c r="G76" s="33"/>
      <c r="H76" s="75"/>
      <c r="I76" s="75"/>
      <c r="J76" s="75"/>
      <c r="K76" s="75"/>
      <c r="L76" s="75"/>
    </row>
  </sheetData>
  <mergeCells count="161">
    <mergeCell ref="A13:B14"/>
    <mergeCell ref="C13:D14"/>
    <mergeCell ref="E13:F14"/>
    <mergeCell ref="G13:G14"/>
    <mergeCell ref="H13:H14"/>
    <mergeCell ref="I13:I14"/>
    <mergeCell ref="A1:L1"/>
    <mergeCell ref="A4:C4"/>
    <mergeCell ref="E4:F5"/>
    <mergeCell ref="A5:C5"/>
    <mergeCell ref="A9:J9"/>
    <mergeCell ref="K9:L9"/>
    <mergeCell ref="A17:B17"/>
    <mergeCell ref="C17:D17"/>
    <mergeCell ref="E17:F17"/>
    <mergeCell ref="A18:B18"/>
    <mergeCell ref="C18:D18"/>
    <mergeCell ref="E18:F18"/>
    <mergeCell ref="A15:B15"/>
    <mergeCell ref="C15:D15"/>
    <mergeCell ref="E15:F15"/>
    <mergeCell ref="A16:B16"/>
    <mergeCell ref="C16:D16"/>
    <mergeCell ref="E16:F16"/>
    <mergeCell ref="A21:B21"/>
    <mergeCell ref="C21:D21"/>
    <mergeCell ref="E21:F21"/>
    <mergeCell ref="A22:B22"/>
    <mergeCell ref="C22:D22"/>
    <mergeCell ref="E22:F22"/>
    <mergeCell ref="A19:B19"/>
    <mergeCell ref="C19:D19"/>
    <mergeCell ref="E19:F19"/>
    <mergeCell ref="A20:B20"/>
    <mergeCell ref="C20:D20"/>
    <mergeCell ref="E20:F20"/>
    <mergeCell ref="A23:B23"/>
    <mergeCell ref="C23:D23"/>
    <mergeCell ref="E23:F23"/>
    <mergeCell ref="A24:B24"/>
    <mergeCell ref="C24:D24"/>
    <mergeCell ref="E24:F24"/>
    <mergeCell ref="A26:B26"/>
    <mergeCell ref="A27:B27"/>
    <mergeCell ref="A28:B28"/>
    <mergeCell ref="C26:D26"/>
    <mergeCell ref="C27:D27"/>
    <mergeCell ref="C28:D28"/>
    <mergeCell ref="A43:B43"/>
    <mergeCell ref="C43:D43"/>
    <mergeCell ref="E43:F43"/>
    <mergeCell ref="A44:B44"/>
    <mergeCell ref="C44:D44"/>
    <mergeCell ref="E44:F44"/>
    <mergeCell ref="A25:B25"/>
    <mergeCell ref="C25:D25"/>
    <mergeCell ref="E25:F25"/>
    <mergeCell ref="A42:B42"/>
    <mergeCell ref="C42:D42"/>
    <mergeCell ref="E42:F42"/>
    <mergeCell ref="A29:B29"/>
    <mergeCell ref="A30:B30"/>
    <mergeCell ref="A31:B31"/>
    <mergeCell ref="A32:B32"/>
    <mergeCell ref="A33:B33"/>
    <mergeCell ref="A34:B34"/>
    <mergeCell ref="A39:B39"/>
    <mergeCell ref="A40:B40"/>
    <mergeCell ref="A41:B41"/>
    <mergeCell ref="C32:D32"/>
    <mergeCell ref="C33:D33"/>
    <mergeCell ref="C34:D34"/>
    <mergeCell ref="A47:B47"/>
    <mergeCell ref="I47:K47"/>
    <mergeCell ref="A51:B53"/>
    <mergeCell ref="C51:D53"/>
    <mergeCell ref="E51:K53"/>
    <mergeCell ref="L51:L53"/>
    <mergeCell ref="A45:B45"/>
    <mergeCell ref="C45:D45"/>
    <mergeCell ref="E45:F45"/>
    <mergeCell ref="A46:B46"/>
    <mergeCell ref="C46:D46"/>
    <mergeCell ref="E46:F46"/>
    <mergeCell ref="A56:B56"/>
    <mergeCell ref="C56:D56"/>
    <mergeCell ref="E56:K56"/>
    <mergeCell ref="A57:B57"/>
    <mergeCell ref="C57:D57"/>
    <mergeCell ref="E57:K57"/>
    <mergeCell ref="A54:B54"/>
    <mergeCell ref="C54:D54"/>
    <mergeCell ref="E54:K54"/>
    <mergeCell ref="A55:B55"/>
    <mergeCell ref="C55:D55"/>
    <mergeCell ref="E55:K55"/>
    <mergeCell ref="C68:D68"/>
    <mergeCell ref="A60:B60"/>
    <mergeCell ref="C60:D60"/>
    <mergeCell ref="E60:K60"/>
    <mergeCell ref="A61:K61"/>
    <mergeCell ref="A65:B65"/>
    <mergeCell ref="C65:D65"/>
    <mergeCell ref="G65:K68"/>
    <mergeCell ref="A58:B58"/>
    <mergeCell ref="C58:D58"/>
    <mergeCell ref="E58:K58"/>
    <mergeCell ref="A59:B59"/>
    <mergeCell ref="C59:D59"/>
    <mergeCell ref="E59:K59"/>
    <mergeCell ref="F74:H74"/>
    <mergeCell ref="J74:L74"/>
    <mergeCell ref="A75:E75"/>
    <mergeCell ref="F75:H75"/>
    <mergeCell ref="J75:L75"/>
    <mergeCell ref="A69:K69"/>
    <mergeCell ref="A70:L70"/>
    <mergeCell ref="A71:J71"/>
    <mergeCell ref="K71:L71"/>
    <mergeCell ref="A72:L72"/>
    <mergeCell ref="A73:E73"/>
    <mergeCell ref="F73:H73"/>
    <mergeCell ref="I73:I75"/>
    <mergeCell ref="J73:L73"/>
    <mergeCell ref="A74:E74"/>
    <mergeCell ref="L65:L66"/>
    <mergeCell ref="A66:B66"/>
    <mergeCell ref="C66:D66"/>
    <mergeCell ref="A67:B67"/>
    <mergeCell ref="C67:D67"/>
    <mergeCell ref="A68:B68"/>
    <mergeCell ref="C40:D40"/>
    <mergeCell ref="C41:D41"/>
    <mergeCell ref="E26:F26"/>
    <mergeCell ref="E27:F27"/>
    <mergeCell ref="E28:F28"/>
    <mergeCell ref="E29:F29"/>
    <mergeCell ref="E30:F30"/>
    <mergeCell ref="E31:F31"/>
    <mergeCell ref="E32:F32"/>
    <mergeCell ref="E33:F33"/>
    <mergeCell ref="E34:F34"/>
    <mergeCell ref="E39:F39"/>
    <mergeCell ref="E40:F40"/>
    <mergeCell ref="E41:F41"/>
    <mergeCell ref="E35:F35"/>
    <mergeCell ref="E36:F36"/>
    <mergeCell ref="E37:F37"/>
    <mergeCell ref="E38:F38"/>
    <mergeCell ref="C39:D39"/>
    <mergeCell ref="C29:D29"/>
    <mergeCell ref="C30:D30"/>
    <mergeCell ref="C31:D31"/>
    <mergeCell ref="A35:B35"/>
    <mergeCell ref="A36:B36"/>
    <mergeCell ref="A37:B37"/>
    <mergeCell ref="A38:B38"/>
    <mergeCell ref="C35:D35"/>
    <mergeCell ref="C36:D36"/>
    <mergeCell ref="C37:D37"/>
    <mergeCell ref="C38:D3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21" workbookViewId="0">
      <selection activeCell="A39" sqref="A39:K39"/>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t="s">
        <v>535</v>
      </c>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92" t="s">
        <v>27</v>
      </c>
      <c r="B6" s="297" t="s">
        <v>28</v>
      </c>
      <c r="C6" s="297" t="s">
        <v>29</v>
      </c>
      <c r="D6" s="30"/>
      <c r="E6" s="30"/>
      <c r="F6" s="30"/>
      <c r="G6" s="30"/>
      <c r="H6" s="31"/>
      <c r="I6" s="31"/>
      <c r="J6" s="31"/>
      <c r="K6" s="31"/>
      <c r="L6" s="32"/>
    </row>
    <row r="7" spans="1:12" x14ac:dyDescent="0.25">
      <c r="A7" s="41" t="s">
        <v>179</v>
      </c>
      <c r="B7" s="42" t="s">
        <v>179</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295" t="s">
        <v>40</v>
      </c>
      <c r="K13" s="295" t="s">
        <v>40</v>
      </c>
      <c r="L13" s="295" t="s">
        <v>41</v>
      </c>
    </row>
    <row r="14" spans="1:12" x14ac:dyDescent="0.25">
      <c r="A14" s="396"/>
      <c r="B14" s="397"/>
      <c r="C14" s="396"/>
      <c r="D14" s="397"/>
      <c r="E14" s="361"/>
      <c r="F14" s="362"/>
      <c r="G14" s="399"/>
      <c r="H14" s="399"/>
      <c r="I14" s="399"/>
      <c r="J14" s="296" t="s">
        <v>42</v>
      </c>
      <c r="K14" s="296" t="s">
        <v>43</v>
      </c>
      <c r="L14" s="296" t="s">
        <v>44</v>
      </c>
    </row>
    <row r="15" spans="1:12" x14ac:dyDescent="0.25">
      <c r="A15" s="385">
        <v>1</v>
      </c>
      <c r="B15" s="384"/>
      <c r="C15" s="386" t="s">
        <v>265</v>
      </c>
      <c r="D15" s="386"/>
      <c r="E15" s="383" t="s">
        <v>373</v>
      </c>
      <c r="F15" s="383"/>
      <c r="G15" s="59" t="s">
        <v>26</v>
      </c>
      <c r="H15" s="55">
        <v>419300</v>
      </c>
      <c r="I15" s="56"/>
      <c r="J15" s="57"/>
      <c r="K15" s="57"/>
      <c r="L15" s="58">
        <f t="shared" ref="L15:L31" si="0">H15</f>
        <v>419300</v>
      </c>
    </row>
    <row r="16" spans="1:12" x14ac:dyDescent="0.25">
      <c r="A16" s="385">
        <v>1</v>
      </c>
      <c r="B16" s="384"/>
      <c r="C16" s="386" t="s">
        <v>265</v>
      </c>
      <c r="D16" s="386"/>
      <c r="E16" s="383" t="s">
        <v>359</v>
      </c>
      <c r="F16" s="383"/>
      <c r="G16" s="59" t="s">
        <v>26</v>
      </c>
      <c r="H16" s="55">
        <v>365300</v>
      </c>
      <c r="I16" s="56"/>
      <c r="J16" s="57"/>
      <c r="K16" s="57"/>
      <c r="L16" s="58">
        <f t="shared" si="0"/>
        <v>365300</v>
      </c>
    </row>
    <row r="17" spans="1:12" x14ac:dyDescent="0.25">
      <c r="A17" s="387" t="s">
        <v>77</v>
      </c>
      <c r="B17" s="386"/>
      <c r="C17" s="386" t="s">
        <v>140</v>
      </c>
      <c r="D17" s="386"/>
      <c r="E17" s="388" t="s">
        <v>197</v>
      </c>
      <c r="F17" s="389"/>
      <c r="G17" s="294" t="s">
        <v>26</v>
      </c>
      <c r="H17" s="60">
        <v>481700</v>
      </c>
      <c r="I17" s="56"/>
      <c r="J17" s="57"/>
      <c r="K17" s="57"/>
      <c r="L17" s="58">
        <f t="shared" si="0"/>
        <v>481700</v>
      </c>
    </row>
    <row r="18" spans="1:12" x14ac:dyDescent="0.25">
      <c r="A18" s="387" t="s">
        <v>77</v>
      </c>
      <c r="B18" s="386"/>
      <c r="C18" s="384">
        <v>6</v>
      </c>
      <c r="D18" s="384"/>
      <c r="E18" s="388" t="s">
        <v>404</v>
      </c>
      <c r="F18" s="389"/>
      <c r="G18" s="294" t="s">
        <v>26</v>
      </c>
      <c r="H18" s="55">
        <v>488500</v>
      </c>
      <c r="I18" s="56"/>
      <c r="J18" s="57"/>
      <c r="K18" s="57"/>
      <c r="L18" s="58">
        <f t="shared" si="0"/>
        <v>488500</v>
      </c>
    </row>
    <row r="19" spans="1:12" x14ac:dyDescent="0.25">
      <c r="A19" s="387" t="s">
        <v>77</v>
      </c>
      <c r="B19" s="386"/>
      <c r="C19" s="384">
        <v>2</v>
      </c>
      <c r="D19" s="384"/>
      <c r="E19" s="388" t="s">
        <v>528</v>
      </c>
      <c r="F19" s="389"/>
      <c r="G19" s="294" t="s">
        <v>26</v>
      </c>
      <c r="H19" s="55">
        <v>353500</v>
      </c>
      <c r="I19" s="56"/>
      <c r="J19" s="57"/>
      <c r="K19" s="57"/>
      <c r="L19" s="58">
        <f t="shared" si="0"/>
        <v>353500</v>
      </c>
    </row>
    <row r="20" spans="1:12" x14ac:dyDescent="0.25">
      <c r="A20" s="387" t="s">
        <v>77</v>
      </c>
      <c r="B20" s="386"/>
      <c r="C20" s="379" t="s">
        <v>582</v>
      </c>
      <c r="D20" s="380"/>
      <c r="E20" s="392" t="s">
        <v>106</v>
      </c>
      <c r="F20" s="393"/>
      <c r="G20" s="294" t="s">
        <v>26</v>
      </c>
      <c r="H20" s="55">
        <v>418100</v>
      </c>
      <c r="I20" s="56"/>
      <c r="J20" s="57"/>
      <c r="K20" s="57"/>
      <c r="L20" s="58">
        <f t="shared" si="0"/>
        <v>418100</v>
      </c>
    </row>
    <row r="21" spans="1:12" x14ac:dyDescent="0.25">
      <c r="A21" s="385">
        <v>1</v>
      </c>
      <c r="B21" s="384"/>
      <c r="C21" s="386" t="s">
        <v>142</v>
      </c>
      <c r="D21" s="386"/>
      <c r="E21" s="383" t="s">
        <v>493</v>
      </c>
      <c r="F21" s="383"/>
      <c r="G21" s="59" t="s">
        <v>26</v>
      </c>
      <c r="H21" s="55">
        <v>645700</v>
      </c>
      <c r="I21" s="56"/>
      <c r="J21" s="57"/>
      <c r="K21" s="57"/>
      <c r="L21" s="58">
        <f t="shared" si="0"/>
        <v>645700</v>
      </c>
    </row>
    <row r="22" spans="1:12" x14ac:dyDescent="0.25">
      <c r="A22" s="375">
        <v>1</v>
      </c>
      <c r="B22" s="376"/>
      <c r="C22" s="322">
        <v>6</v>
      </c>
      <c r="D22" s="324"/>
      <c r="E22" s="383" t="s">
        <v>374</v>
      </c>
      <c r="F22" s="383"/>
      <c r="G22" s="59" t="s">
        <v>26</v>
      </c>
      <c r="H22" s="55">
        <v>800341</v>
      </c>
      <c r="I22" s="56"/>
      <c r="J22" s="57"/>
      <c r="K22" s="57"/>
      <c r="L22" s="58">
        <f t="shared" si="0"/>
        <v>800341</v>
      </c>
    </row>
    <row r="23" spans="1:12" x14ac:dyDescent="0.25">
      <c r="A23" s="375">
        <v>1</v>
      </c>
      <c r="B23" s="376"/>
      <c r="C23" s="384">
        <v>7</v>
      </c>
      <c r="D23" s="384"/>
      <c r="E23" s="383" t="s">
        <v>374</v>
      </c>
      <c r="F23" s="383"/>
      <c r="G23" s="59" t="s">
        <v>26</v>
      </c>
      <c r="H23" s="55">
        <v>779300</v>
      </c>
      <c r="I23" s="56"/>
      <c r="J23" s="57"/>
      <c r="K23" s="57"/>
      <c r="L23" s="58">
        <f t="shared" si="0"/>
        <v>779300</v>
      </c>
    </row>
    <row r="24" spans="1:12" x14ac:dyDescent="0.25">
      <c r="A24" s="375">
        <v>2</v>
      </c>
      <c r="B24" s="376"/>
      <c r="C24" s="379" t="s">
        <v>391</v>
      </c>
      <c r="D24" s="380"/>
      <c r="E24" s="392" t="s">
        <v>584</v>
      </c>
      <c r="F24" s="393"/>
      <c r="G24" s="59" t="s">
        <v>26</v>
      </c>
      <c r="H24" s="55">
        <v>2068800</v>
      </c>
      <c r="I24" s="56"/>
      <c r="J24" s="57"/>
      <c r="K24" s="57"/>
      <c r="L24" s="58">
        <f t="shared" si="0"/>
        <v>2068800</v>
      </c>
    </row>
    <row r="25" spans="1:12" x14ac:dyDescent="0.25">
      <c r="A25" s="375">
        <v>1</v>
      </c>
      <c r="B25" s="376"/>
      <c r="C25" s="379" t="s">
        <v>74</v>
      </c>
      <c r="D25" s="380"/>
      <c r="E25" s="392" t="s">
        <v>264</v>
      </c>
      <c r="F25" s="393"/>
      <c r="G25" s="59" t="s">
        <v>26</v>
      </c>
      <c r="H25" s="55">
        <v>1033600</v>
      </c>
      <c r="I25" s="56"/>
      <c r="J25" s="57"/>
      <c r="K25" s="57"/>
      <c r="L25" s="58">
        <f t="shared" si="0"/>
        <v>1033600</v>
      </c>
    </row>
    <row r="26" spans="1:12" x14ac:dyDescent="0.25">
      <c r="A26" s="375">
        <v>1</v>
      </c>
      <c r="B26" s="376"/>
      <c r="C26" s="379" t="s">
        <v>142</v>
      </c>
      <c r="D26" s="380"/>
      <c r="E26" s="392" t="s">
        <v>494</v>
      </c>
      <c r="F26" s="393"/>
      <c r="G26" s="59" t="s">
        <v>26</v>
      </c>
      <c r="H26" s="55">
        <v>614700</v>
      </c>
      <c r="I26" s="56"/>
      <c r="J26" s="57"/>
      <c r="K26" s="57"/>
      <c r="L26" s="58">
        <f t="shared" si="0"/>
        <v>614700</v>
      </c>
    </row>
    <row r="27" spans="1:12" x14ac:dyDescent="0.25">
      <c r="A27" s="375">
        <v>1</v>
      </c>
      <c r="B27" s="376"/>
      <c r="C27" s="379" t="s">
        <v>80</v>
      </c>
      <c r="D27" s="380"/>
      <c r="E27" s="392" t="s">
        <v>556</v>
      </c>
      <c r="F27" s="393"/>
      <c r="G27" s="59" t="s">
        <v>26</v>
      </c>
      <c r="H27" s="55">
        <v>468900</v>
      </c>
      <c r="I27" s="56"/>
      <c r="J27" s="57"/>
      <c r="K27" s="57"/>
      <c r="L27" s="58">
        <f t="shared" si="0"/>
        <v>468900</v>
      </c>
    </row>
    <row r="28" spans="1:12" x14ac:dyDescent="0.25">
      <c r="A28" s="375">
        <v>2</v>
      </c>
      <c r="B28" s="376"/>
      <c r="C28" s="379" t="s">
        <v>406</v>
      </c>
      <c r="D28" s="380"/>
      <c r="E28" s="392" t="s">
        <v>583</v>
      </c>
      <c r="F28" s="393"/>
      <c r="G28" s="59" t="s">
        <v>26</v>
      </c>
      <c r="H28" s="55">
        <v>656600</v>
      </c>
      <c r="I28" s="56"/>
      <c r="J28" s="57"/>
      <c r="K28" s="57"/>
      <c r="L28" s="58">
        <f t="shared" si="0"/>
        <v>656600</v>
      </c>
    </row>
    <row r="29" spans="1:12" x14ac:dyDescent="0.25">
      <c r="A29" s="375">
        <v>1</v>
      </c>
      <c r="B29" s="376"/>
      <c r="C29" s="379" t="s">
        <v>80</v>
      </c>
      <c r="D29" s="380"/>
      <c r="E29" s="392" t="s">
        <v>585</v>
      </c>
      <c r="F29" s="393"/>
      <c r="G29" s="59" t="s">
        <v>26</v>
      </c>
      <c r="H29" s="55">
        <v>529400</v>
      </c>
      <c r="I29" s="56"/>
      <c r="J29" s="57"/>
      <c r="K29" s="57"/>
      <c r="L29" s="58">
        <f t="shared" si="0"/>
        <v>529400</v>
      </c>
    </row>
    <row r="30" spans="1:12" x14ac:dyDescent="0.25">
      <c r="A30" s="375">
        <v>1</v>
      </c>
      <c r="B30" s="376"/>
      <c r="C30" s="379" t="s">
        <v>142</v>
      </c>
      <c r="D30" s="380"/>
      <c r="E30" s="392" t="s">
        <v>563</v>
      </c>
      <c r="F30" s="393"/>
      <c r="G30" s="59" t="s">
        <v>26</v>
      </c>
      <c r="H30" s="55">
        <v>170600</v>
      </c>
      <c r="I30" s="56"/>
      <c r="J30" s="57"/>
      <c r="K30" s="57"/>
      <c r="L30" s="58">
        <f t="shared" si="0"/>
        <v>170600</v>
      </c>
    </row>
    <row r="31" spans="1:12" x14ac:dyDescent="0.25">
      <c r="A31" s="375"/>
      <c r="B31" s="376"/>
      <c r="C31" s="379"/>
      <c r="D31" s="380"/>
      <c r="E31" s="392"/>
      <c r="F31" s="393"/>
      <c r="G31" s="59"/>
      <c r="H31" s="55"/>
      <c r="I31" s="56"/>
      <c r="J31" s="57"/>
      <c r="K31" s="57"/>
      <c r="L31" s="58">
        <f t="shared" si="0"/>
        <v>0</v>
      </c>
    </row>
    <row r="32" spans="1:12" x14ac:dyDescent="0.25">
      <c r="A32" s="322"/>
      <c r="B32" s="324"/>
      <c r="C32" s="61" t="s">
        <v>45</v>
      </c>
      <c r="D32" s="62"/>
      <c r="E32" s="62"/>
      <c r="F32" s="62"/>
      <c r="G32" s="62"/>
      <c r="H32" s="63">
        <f>SUM(H15:H31)</f>
        <v>10294341</v>
      </c>
      <c r="I32" s="334"/>
      <c r="J32" s="335"/>
      <c r="K32" s="336"/>
      <c r="L32" s="63">
        <f>SUM(L15:L31)</f>
        <v>10294341</v>
      </c>
    </row>
    <row r="33" spans="1:13" x14ac:dyDescent="0.25">
      <c r="A33" s="64"/>
      <c r="B33" s="38"/>
      <c r="C33" s="29"/>
      <c r="D33" s="30"/>
      <c r="E33" s="30"/>
      <c r="F33" s="30"/>
      <c r="G33" s="30"/>
      <c r="H33" s="31"/>
      <c r="I33" s="31"/>
      <c r="J33" s="31"/>
      <c r="K33" s="31"/>
      <c r="L33" s="32"/>
    </row>
    <row r="34" spans="1:13" x14ac:dyDescent="0.25">
      <c r="A34" s="48" t="s">
        <v>46</v>
      </c>
      <c r="B34" s="38"/>
      <c r="C34" s="29"/>
      <c r="D34" s="30"/>
      <c r="E34" s="30"/>
      <c r="F34" s="30"/>
      <c r="G34" s="30"/>
      <c r="H34" s="31"/>
      <c r="I34" s="31"/>
      <c r="J34" s="31"/>
      <c r="K34" s="31"/>
      <c r="L34" s="32"/>
    </row>
    <row r="35" spans="1:13" x14ac:dyDescent="0.25">
      <c r="A35" s="48"/>
      <c r="B35" s="30"/>
      <c r="C35" s="30"/>
      <c r="D35" s="30"/>
      <c r="E35" s="30"/>
      <c r="F35" s="30"/>
      <c r="G35" s="30"/>
      <c r="H35" s="31"/>
      <c r="I35" s="31"/>
      <c r="J35" s="31"/>
      <c r="K35" s="31"/>
      <c r="L35" s="32"/>
    </row>
    <row r="36" spans="1:13" x14ac:dyDescent="0.25">
      <c r="A36" s="357" t="s">
        <v>47</v>
      </c>
      <c r="B36" s="358"/>
      <c r="C36" s="363" t="s">
        <v>48</v>
      </c>
      <c r="D36" s="364"/>
      <c r="E36" s="357" t="s">
        <v>49</v>
      </c>
      <c r="F36" s="369"/>
      <c r="G36" s="369"/>
      <c r="H36" s="369"/>
      <c r="I36" s="369"/>
      <c r="J36" s="369"/>
      <c r="K36" s="358"/>
      <c r="L36" s="372" t="s">
        <v>50</v>
      </c>
    </row>
    <row r="37" spans="1:13" x14ac:dyDescent="0.25">
      <c r="A37" s="359"/>
      <c r="B37" s="360"/>
      <c r="C37" s="365"/>
      <c r="D37" s="366"/>
      <c r="E37" s="359"/>
      <c r="F37" s="370"/>
      <c r="G37" s="370"/>
      <c r="H37" s="370"/>
      <c r="I37" s="370"/>
      <c r="J37" s="370"/>
      <c r="K37" s="360"/>
      <c r="L37" s="373"/>
    </row>
    <row r="38" spans="1:13" x14ac:dyDescent="0.25">
      <c r="A38" s="361"/>
      <c r="B38" s="362"/>
      <c r="C38" s="367"/>
      <c r="D38" s="368"/>
      <c r="E38" s="361"/>
      <c r="F38" s="371"/>
      <c r="G38" s="371"/>
      <c r="H38" s="371"/>
      <c r="I38" s="371"/>
      <c r="J38" s="371"/>
      <c r="K38" s="362"/>
      <c r="L38" s="374"/>
    </row>
    <row r="39" spans="1:13" x14ac:dyDescent="0.25">
      <c r="A39" s="352">
        <v>46210</v>
      </c>
      <c r="B39" s="353"/>
      <c r="C39" s="322" t="s">
        <v>100</v>
      </c>
      <c r="D39" s="324"/>
      <c r="E39" s="354" t="s">
        <v>244</v>
      </c>
      <c r="F39" s="355"/>
      <c r="G39" s="355"/>
      <c r="H39" s="355"/>
      <c r="I39" s="355"/>
      <c r="J39" s="355"/>
      <c r="K39" s="356"/>
      <c r="L39" s="55">
        <v>10294341</v>
      </c>
    </row>
    <row r="40" spans="1:13" x14ac:dyDescent="0.25">
      <c r="A40" s="352"/>
      <c r="B40" s="353"/>
      <c r="C40" s="322"/>
      <c r="D40" s="324"/>
      <c r="E40" s="354"/>
      <c r="F40" s="355"/>
      <c r="G40" s="355"/>
      <c r="H40" s="355"/>
      <c r="I40" s="355"/>
      <c r="J40" s="355"/>
      <c r="K40" s="356"/>
      <c r="L40" s="55"/>
    </row>
    <row r="41" spans="1:13" x14ac:dyDescent="0.25">
      <c r="A41" s="352"/>
      <c r="B41" s="353"/>
      <c r="C41" s="322"/>
      <c r="D41" s="324"/>
      <c r="E41" s="354"/>
      <c r="F41" s="355"/>
      <c r="G41" s="355"/>
      <c r="H41" s="355"/>
      <c r="I41" s="355"/>
      <c r="J41" s="355"/>
      <c r="K41" s="356"/>
      <c r="L41" s="55"/>
    </row>
    <row r="42" spans="1:13" x14ac:dyDescent="0.25">
      <c r="A42" s="352"/>
      <c r="B42" s="353"/>
      <c r="C42" s="322"/>
      <c r="D42" s="324"/>
      <c r="E42" s="354"/>
      <c r="F42" s="355"/>
      <c r="G42" s="355"/>
      <c r="H42" s="355"/>
      <c r="I42" s="355"/>
      <c r="J42" s="355"/>
      <c r="K42" s="356"/>
      <c r="L42" s="55"/>
    </row>
    <row r="43" spans="1:13" x14ac:dyDescent="0.25">
      <c r="A43" s="352"/>
      <c r="B43" s="353"/>
      <c r="C43" s="322"/>
      <c r="D43" s="324"/>
      <c r="E43" s="354"/>
      <c r="F43" s="355"/>
      <c r="G43" s="355"/>
      <c r="H43" s="355"/>
      <c r="I43" s="355"/>
      <c r="J43" s="355"/>
      <c r="K43" s="356"/>
      <c r="L43" s="55"/>
    </row>
    <row r="44" spans="1:13" x14ac:dyDescent="0.25">
      <c r="A44" s="352"/>
      <c r="B44" s="353"/>
      <c r="C44" s="322"/>
      <c r="D44" s="324"/>
      <c r="E44" s="354"/>
      <c r="F44" s="355"/>
      <c r="G44" s="355"/>
      <c r="H44" s="355"/>
      <c r="I44" s="355"/>
      <c r="J44" s="355"/>
      <c r="K44" s="356"/>
      <c r="L44" s="55"/>
    </row>
    <row r="45" spans="1:13" x14ac:dyDescent="0.25">
      <c r="A45" s="352"/>
      <c r="B45" s="353"/>
      <c r="C45" s="322"/>
      <c r="D45" s="324"/>
      <c r="E45" s="354"/>
      <c r="F45" s="355"/>
      <c r="G45" s="355"/>
      <c r="H45" s="355"/>
      <c r="I45" s="355"/>
      <c r="J45" s="355"/>
      <c r="K45" s="356"/>
      <c r="L45" s="55"/>
      <c r="M45" s="33"/>
    </row>
    <row r="46" spans="1:13" x14ac:dyDescent="0.25">
      <c r="A46" s="334" t="s">
        <v>51</v>
      </c>
      <c r="B46" s="335"/>
      <c r="C46" s="335"/>
      <c r="D46" s="335"/>
      <c r="E46" s="335"/>
      <c r="F46" s="335"/>
      <c r="G46" s="335"/>
      <c r="H46" s="335"/>
      <c r="I46" s="335"/>
      <c r="J46" s="335"/>
      <c r="K46" s="336"/>
      <c r="L46" s="63">
        <f>SUM(L39:L45)</f>
        <v>10294341</v>
      </c>
    </row>
    <row r="47" spans="1:13" x14ac:dyDescent="0.25">
      <c r="A47" s="65"/>
      <c r="B47" s="66"/>
      <c r="C47" s="66"/>
      <c r="D47" s="66"/>
      <c r="E47" s="66"/>
      <c r="F47" s="66"/>
      <c r="G47" s="66"/>
      <c r="H47" s="31"/>
      <c r="I47" s="31"/>
      <c r="J47" s="31"/>
      <c r="K47" s="31"/>
      <c r="L47" s="31"/>
    </row>
    <row r="48" spans="1:13" x14ac:dyDescent="0.25">
      <c r="A48" s="48" t="s">
        <v>52</v>
      </c>
      <c r="B48" s="30"/>
      <c r="C48" s="30"/>
      <c r="D48" s="30"/>
      <c r="E48" s="30"/>
      <c r="F48" s="30"/>
      <c r="G48" s="30"/>
      <c r="H48" s="31"/>
      <c r="I48" s="31"/>
      <c r="J48" s="31"/>
      <c r="K48" s="31"/>
      <c r="L48" s="31"/>
    </row>
    <row r="49" spans="1:13" x14ac:dyDescent="0.25">
      <c r="A49" s="44"/>
      <c r="B49" s="45"/>
      <c r="C49" s="45"/>
      <c r="D49" s="45"/>
      <c r="E49" s="45"/>
      <c r="F49" s="45"/>
      <c r="G49" s="45"/>
      <c r="H49" s="31"/>
      <c r="I49" s="31"/>
      <c r="J49" s="46"/>
      <c r="K49" s="46"/>
      <c r="L49" s="31"/>
    </row>
    <row r="50" spans="1:13" x14ac:dyDescent="0.25">
      <c r="A50" s="337" t="s">
        <v>53</v>
      </c>
      <c r="B50" s="338"/>
      <c r="C50" s="337" t="s">
        <v>54</v>
      </c>
      <c r="D50" s="338"/>
      <c r="E50" s="291" t="s">
        <v>55</v>
      </c>
      <c r="F50" s="68" t="s">
        <v>37</v>
      </c>
      <c r="G50" s="339"/>
      <c r="H50" s="340"/>
      <c r="I50" s="340"/>
      <c r="J50" s="340"/>
      <c r="K50" s="341"/>
      <c r="L50" s="348" t="s">
        <v>56</v>
      </c>
    </row>
    <row r="51" spans="1:13" x14ac:dyDescent="0.25">
      <c r="A51" s="316"/>
      <c r="B51" s="317"/>
      <c r="C51" s="350" t="s">
        <v>57</v>
      </c>
      <c r="D51" s="351"/>
      <c r="E51" s="69"/>
      <c r="F51" s="44"/>
      <c r="G51" s="342"/>
      <c r="H51" s="343"/>
      <c r="I51" s="343"/>
      <c r="J51" s="343"/>
      <c r="K51" s="344"/>
      <c r="L51" s="349"/>
    </row>
    <row r="52" spans="1:13" x14ac:dyDescent="0.25">
      <c r="A52" s="310"/>
      <c r="B52" s="312"/>
      <c r="C52" s="310"/>
      <c r="D52" s="312"/>
      <c r="E52" s="70"/>
      <c r="F52" s="293"/>
      <c r="G52" s="342"/>
      <c r="H52" s="343"/>
      <c r="I52" s="343"/>
      <c r="J52" s="343"/>
      <c r="K52" s="344"/>
      <c r="L52" s="55"/>
    </row>
    <row r="53" spans="1:13" x14ac:dyDescent="0.25">
      <c r="A53" s="310"/>
      <c r="B53" s="312"/>
      <c r="C53" s="310"/>
      <c r="D53" s="312"/>
      <c r="E53" s="70"/>
      <c r="F53" s="64"/>
      <c r="G53" s="345"/>
      <c r="H53" s="346"/>
      <c r="I53" s="346"/>
      <c r="J53" s="346"/>
      <c r="K53" s="347"/>
      <c r="L53" s="72"/>
    </row>
    <row r="54" spans="1:13" x14ac:dyDescent="0.25">
      <c r="A54" s="322" t="s">
        <v>41</v>
      </c>
      <c r="B54" s="323"/>
      <c r="C54" s="323"/>
      <c r="D54" s="323"/>
      <c r="E54" s="323"/>
      <c r="F54" s="323"/>
      <c r="G54" s="323"/>
      <c r="H54" s="323"/>
      <c r="I54" s="323"/>
      <c r="J54" s="323"/>
      <c r="K54" s="324"/>
      <c r="L54" s="73">
        <f>SUM(L52:L53)</f>
        <v>0</v>
      </c>
    </row>
    <row r="55" spans="1:13" x14ac:dyDescent="0.25">
      <c r="A55" s="325"/>
      <c r="B55" s="326"/>
      <c r="C55" s="326"/>
      <c r="D55" s="326"/>
      <c r="E55" s="326"/>
      <c r="F55" s="326"/>
      <c r="G55" s="326"/>
      <c r="H55" s="326"/>
      <c r="I55" s="326"/>
      <c r="J55" s="326"/>
      <c r="K55" s="326"/>
      <c r="L55" s="326"/>
    </row>
    <row r="56" spans="1:13" x14ac:dyDescent="0.25">
      <c r="A56" s="327" t="s">
        <v>58</v>
      </c>
      <c r="B56" s="328"/>
      <c r="C56" s="328"/>
      <c r="D56" s="328"/>
      <c r="E56" s="328"/>
      <c r="F56" s="328"/>
      <c r="G56" s="328"/>
      <c r="H56" s="328"/>
      <c r="I56" s="328"/>
      <c r="J56" s="329"/>
      <c r="K56" s="330">
        <f>K9+L32-L46-L54</f>
        <v>0</v>
      </c>
      <c r="L56" s="330"/>
    </row>
    <row r="57" spans="1:13" x14ac:dyDescent="0.25">
      <c r="A57" s="331"/>
      <c r="B57" s="332"/>
      <c r="C57" s="332"/>
      <c r="D57" s="332"/>
      <c r="E57" s="332"/>
      <c r="F57" s="332"/>
      <c r="G57" s="332"/>
      <c r="H57" s="332"/>
      <c r="I57" s="332"/>
      <c r="J57" s="332"/>
      <c r="K57" s="332"/>
      <c r="L57" s="333"/>
    </row>
    <row r="58" spans="1:13" x14ac:dyDescent="0.25">
      <c r="A58" s="305" t="s">
        <v>59</v>
      </c>
      <c r="B58" s="305"/>
      <c r="C58" s="305"/>
      <c r="D58" s="305"/>
      <c r="E58" s="305"/>
      <c r="F58" s="305" t="s">
        <v>60</v>
      </c>
      <c r="G58" s="305"/>
      <c r="H58" s="305"/>
      <c r="I58" s="306"/>
      <c r="J58" s="309" t="s">
        <v>61</v>
      </c>
      <c r="K58" s="309"/>
      <c r="L58" s="309"/>
    </row>
    <row r="59" spans="1:13" x14ac:dyDescent="0.25">
      <c r="A59" s="310"/>
      <c r="B59" s="311"/>
      <c r="C59" s="311"/>
      <c r="D59" s="311"/>
      <c r="E59" s="312"/>
      <c r="F59" s="310"/>
      <c r="G59" s="311"/>
      <c r="H59" s="312"/>
      <c r="I59" s="307"/>
      <c r="J59" s="313"/>
      <c r="K59" s="314"/>
      <c r="L59" s="315"/>
      <c r="M59" s="74"/>
    </row>
    <row r="60" spans="1:13" x14ac:dyDescent="0.25">
      <c r="A60" s="316"/>
      <c r="B60" s="317"/>
      <c r="C60" s="317"/>
      <c r="D60" s="317"/>
      <c r="E60" s="318"/>
      <c r="F60" s="316"/>
      <c r="G60" s="317"/>
      <c r="H60" s="318"/>
      <c r="I60" s="308"/>
      <c r="J60" s="319"/>
      <c r="K60" s="320"/>
      <c r="L60" s="321"/>
    </row>
    <row r="61" spans="1:13" x14ac:dyDescent="0.25">
      <c r="A61" s="33"/>
      <c r="B61" s="33"/>
      <c r="C61" s="33"/>
      <c r="D61" s="33"/>
      <c r="E61" s="33"/>
      <c r="F61" s="33"/>
      <c r="G61" s="33"/>
      <c r="H61" s="75"/>
      <c r="I61" s="75"/>
      <c r="J61" s="75"/>
      <c r="K61" s="75"/>
      <c r="L61" s="75"/>
    </row>
  </sheetData>
  <mergeCells count="116">
    <mergeCell ref="F59:H59"/>
    <mergeCell ref="J59:L59"/>
    <mergeCell ref="A60:E60"/>
    <mergeCell ref="F60:H60"/>
    <mergeCell ref="J60:L60"/>
    <mergeCell ref="A54:K54"/>
    <mergeCell ref="A55:L55"/>
    <mergeCell ref="A56:J56"/>
    <mergeCell ref="K56:L56"/>
    <mergeCell ref="A57:L57"/>
    <mergeCell ref="A58:E58"/>
    <mergeCell ref="F58:H58"/>
    <mergeCell ref="I58:I60"/>
    <mergeCell ref="J58:L58"/>
    <mergeCell ref="A59:E59"/>
    <mergeCell ref="L50:L51"/>
    <mergeCell ref="A51:B51"/>
    <mergeCell ref="C51:D51"/>
    <mergeCell ref="A52:B52"/>
    <mergeCell ref="C52:D52"/>
    <mergeCell ref="A53:B53"/>
    <mergeCell ref="C53:D53"/>
    <mergeCell ref="A45:B45"/>
    <mergeCell ref="C45:D45"/>
    <mergeCell ref="E45:K45"/>
    <mergeCell ref="A46:K46"/>
    <mergeCell ref="A50:B50"/>
    <mergeCell ref="C50:D50"/>
    <mergeCell ref="G50:K53"/>
    <mergeCell ref="A43:B43"/>
    <mergeCell ref="C43:D43"/>
    <mergeCell ref="E43:K43"/>
    <mergeCell ref="A44:B44"/>
    <mergeCell ref="C44:D44"/>
    <mergeCell ref="E44:K44"/>
    <mergeCell ref="A41:B41"/>
    <mergeCell ref="C41:D41"/>
    <mergeCell ref="E41:K41"/>
    <mergeCell ref="A42:B42"/>
    <mergeCell ref="C42:D42"/>
    <mergeCell ref="E42:K42"/>
    <mergeCell ref="A39:B39"/>
    <mergeCell ref="C39:D39"/>
    <mergeCell ref="E39:K39"/>
    <mergeCell ref="A40:B40"/>
    <mergeCell ref="C40:D40"/>
    <mergeCell ref="E40:K40"/>
    <mergeCell ref="A32:B32"/>
    <mergeCell ref="I32:K32"/>
    <mergeCell ref="A36:B38"/>
    <mergeCell ref="C36:D38"/>
    <mergeCell ref="E36:K38"/>
    <mergeCell ref="L36:L38"/>
    <mergeCell ref="A31:B31"/>
    <mergeCell ref="C31:D31"/>
    <mergeCell ref="E31:F31"/>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26" workbookViewId="0">
      <selection activeCell="M40" sqref="M40"/>
    </sheetView>
  </sheetViews>
  <sheetFormatPr baseColWidth="10" defaultRowHeight="15" x14ac:dyDescent="0.25"/>
  <cols>
    <col min="1" max="1" width="4.5703125" style="28" customWidth="1"/>
    <col min="2" max="2" width="8.140625" style="28" customWidth="1"/>
    <col min="3" max="3" width="8.5703125" style="28" customWidth="1"/>
    <col min="4" max="4" width="6.85546875" style="28" customWidth="1"/>
    <col min="5" max="5" width="11.42578125" style="28"/>
    <col min="6" max="6" width="20.7109375" style="28" customWidth="1"/>
    <col min="7" max="7" width="11.7109375" style="28" customWidth="1"/>
    <col min="8" max="8" width="11.85546875" style="34" customWidth="1"/>
    <col min="9" max="9" width="9.140625" style="34" customWidth="1"/>
    <col min="10" max="10" width="10.42578125" style="34" bestFit="1" customWidth="1"/>
    <col min="11" max="11" width="11.42578125" style="34" customWidth="1"/>
    <col min="12" max="12" width="11.42578125" style="34"/>
    <col min="13" max="16384" width="11.42578125" style="28"/>
  </cols>
  <sheetData>
    <row r="1" spans="1:12" x14ac:dyDescent="0.25">
      <c r="A1" s="400" t="s">
        <v>25</v>
      </c>
      <c r="B1" s="401"/>
      <c r="C1" s="401"/>
      <c r="D1" s="401"/>
      <c r="E1" s="401"/>
      <c r="F1" s="401"/>
      <c r="G1" s="401"/>
      <c r="H1" s="401"/>
      <c r="I1" s="401"/>
      <c r="J1" s="401"/>
      <c r="K1" s="401"/>
      <c r="L1" s="402"/>
    </row>
    <row r="2" spans="1:12" x14ac:dyDescent="0.25">
      <c r="A2" s="29"/>
      <c r="B2" s="29"/>
      <c r="C2" s="29"/>
      <c r="D2" s="29"/>
      <c r="E2" s="30"/>
      <c r="F2" s="30"/>
      <c r="G2" s="29"/>
      <c r="H2" s="31"/>
      <c r="I2" s="31"/>
      <c r="J2" s="31"/>
      <c r="K2" s="31"/>
      <c r="L2" s="32"/>
    </row>
    <row r="3" spans="1:12" x14ac:dyDescent="0.25">
      <c r="A3" s="33"/>
      <c r="B3" s="33"/>
      <c r="C3" s="33"/>
      <c r="D3" s="33"/>
      <c r="E3" s="30"/>
      <c r="F3" s="30"/>
      <c r="I3" s="29"/>
      <c r="J3" s="29"/>
      <c r="K3" s="29"/>
      <c r="L3" s="32"/>
    </row>
    <row r="4" spans="1:12" x14ac:dyDescent="0.25">
      <c r="A4" s="337" t="s">
        <v>535</v>
      </c>
      <c r="B4" s="403"/>
      <c r="C4" s="338"/>
      <c r="D4" s="35"/>
      <c r="E4" s="404" t="s">
        <v>26</v>
      </c>
      <c r="F4" s="405"/>
      <c r="G4" s="36"/>
      <c r="H4" s="31"/>
      <c r="I4" s="31"/>
      <c r="J4" s="31"/>
      <c r="K4" s="31"/>
      <c r="L4" s="32"/>
    </row>
    <row r="5" spans="1:12" x14ac:dyDescent="0.25">
      <c r="A5" s="316"/>
      <c r="B5" s="317"/>
      <c r="C5" s="318"/>
      <c r="D5" s="37"/>
      <c r="E5" s="406"/>
      <c r="F5" s="407"/>
      <c r="G5" s="38"/>
      <c r="H5" s="31"/>
      <c r="I5" s="31"/>
      <c r="J5" s="31"/>
      <c r="K5" s="31"/>
      <c r="L5" s="32"/>
    </row>
    <row r="6" spans="1:12" x14ac:dyDescent="0.25">
      <c r="A6" s="299" t="s">
        <v>27</v>
      </c>
      <c r="B6" s="304" t="s">
        <v>28</v>
      </c>
      <c r="C6" s="304" t="s">
        <v>29</v>
      </c>
      <c r="D6" s="30"/>
      <c r="E6" s="30"/>
      <c r="F6" s="30"/>
      <c r="G6" s="30"/>
      <c r="H6" s="31"/>
      <c r="I6" s="31"/>
      <c r="J6" s="31"/>
      <c r="K6" s="31"/>
      <c r="L6" s="32"/>
    </row>
    <row r="7" spans="1:12" x14ac:dyDescent="0.25">
      <c r="A7" s="41" t="s">
        <v>78</v>
      </c>
      <c r="B7" s="42" t="s">
        <v>179</v>
      </c>
      <c r="C7" s="43" t="s">
        <v>67</v>
      </c>
      <c r="D7" s="30"/>
      <c r="E7" s="30"/>
      <c r="F7" s="30"/>
      <c r="G7" s="30"/>
      <c r="H7" s="31"/>
      <c r="I7" s="31"/>
      <c r="J7" s="31"/>
      <c r="K7" s="31"/>
      <c r="L7" s="32"/>
    </row>
    <row r="8" spans="1:12" x14ac:dyDescent="0.25">
      <c r="A8" s="44"/>
      <c r="B8" s="45"/>
      <c r="C8" s="45"/>
      <c r="D8" s="45"/>
      <c r="E8" s="45"/>
      <c r="F8" s="45"/>
      <c r="G8" s="45"/>
      <c r="H8" s="46"/>
      <c r="I8" s="46"/>
      <c r="J8" s="46"/>
      <c r="K8" s="46"/>
      <c r="L8" s="47"/>
    </row>
    <row r="9" spans="1:12" x14ac:dyDescent="0.25">
      <c r="A9" s="327" t="s">
        <v>32</v>
      </c>
      <c r="B9" s="328"/>
      <c r="C9" s="328"/>
      <c r="D9" s="328"/>
      <c r="E9" s="328"/>
      <c r="F9" s="328"/>
      <c r="G9" s="328"/>
      <c r="H9" s="328"/>
      <c r="I9" s="328"/>
      <c r="J9" s="329"/>
      <c r="K9" s="330">
        <v>0</v>
      </c>
      <c r="L9" s="330"/>
    </row>
    <row r="10" spans="1:12" x14ac:dyDescent="0.25">
      <c r="A10" s="48"/>
      <c r="B10" s="49"/>
      <c r="C10" s="49"/>
      <c r="D10" s="49"/>
      <c r="E10" s="30"/>
      <c r="F10" s="30"/>
      <c r="G10" s="30"/>
      <c r="H10" s="31"/>
      <c r="I10" s="31"/>
      <c r="J10" s="31"/>
      <c r="K10" s="50"/>
      <c r="L10" s="51"/>
    </row>
    <row r="11" spans="1:12" x14ac:dyDescent="0.25">
      <c r="A11" s="48" t="s">
        <v>33</v>
      </c>
      <c r="B11" s="30"/>
      <c r="C11" s="30"/>
      <c r="D11" s="30"/>
      <c r="E11" s="30"/>
      <c r="F11" s="30"/>
      <c r="G11" s="30"/>
      <c r="H11" s="31"/>
      <c r="I11" s="31"/>
      <c r="J11" s="31"/>
      <c r="K11" s="31"/>
      <c r="L11" s="32"/>
    </row>
    <row r="12" spans="1:12" x14ac:dyDescent="0.25">
      <c r="A12" s="44"/>
      <c r="B12" s="45"/>
      <c r="C12" s="45"/>
      <c r="D12" s="45"/>
      <c r="E12" s="45"/>
      <c r="F12" s="33"/>
      <c r="G12" s="30"/>
      <c r="H12" s="46"/>
      <c r="I12" s="46"/>
      <c r="J12" s="46"/>
      <c r="K12" s="46"/>
      <c r="L12" s="47"/>
    </row>
    <row r="13" spans="1:12" x14ac:dyDescent="0.25">
      <c r="A13" s="394" t="s">
        <v>34</v>
      </c>
      <c r="B13" s="395"/>
      <c r="C13" s="394" t="s">
        <v>35</v>
      </c>
      <c r="D13" s="395"/>
      <c r="E13" s="357" t="s">
        <v>36</v>
      </c>
      <c r="F13" s="358"/>
      <c r="G13" s="398" t="s">
        <v>37</v>
      </c>
      <c r="H13" s="398" t="s">
        <v>38</v>
      </c>
      <c r="I13" s="398" t="s">
        <v>39</v>
      </c>
      <c r="J13" s="302" t="s">
        <v>40</v>
      </c>
      <c r="K13" s="302" t="s">
        <v>40</v>
      </c>
      <c r="L13" s="302" t="s">
        <v>41</v>
      </c>
    </row>
    <row r="14" spans="1:12" x14ac:dyDescent="0.25">
      <c r="A14" s="396"/>
      <c r="B14" s="397"/>
      <c r="C14" s="396"/>
      <c r="D14" s="397"/>
      <c r="E14" s="361"/>
      <c r="F14" s="362"/>
      <c r="G14" s="399"/>
      <c r="H14" s="399"/>
      <c r="I14" s="399"/>
      <c r="J14" s="303" t="s">
        <v>42</v>
      </c>
      <c r="K14" s="303" t="s">
        <v>43</v>
      </c>
      <c r="L14" s="303" t="s">
        <v>44</v>
      </c>
    </row>
    <row r="15" spans="1:12" x14ac:dyDescent="0.25">
      <c r="A15" s="385">
        <v>1</v>
      </c>
      <c r="B15" s="384"/>
      <c r="C15" s="386" t="s">
        <v>142</v>
      </c>
      <c r="D15" s="386"/>
      <c r="E15" s="383" t="s">
        <v>498</v>
      </c>
      <c r="F15" s="383"/>
      <c r="G15" s="59" t="s">
        <v>26</v>
      </c>
      <c r="H15" s="55">
        <v>714200</v>
      </c>
      <c r="I15" s="56"/>
      <c r="J15" s="57"/>
      <c r="K15" s="57"/>
      <c r="L15" s="58">
        <f t="shared" ref="L15:L31" si="0">H15</f>
        <v>714200</v>
      </c>
    </row>
    <row r="16" spans="1:12" x14ac:dyDescent="0.25">
      <c r="A16" s="385">
        <v>1</v>
      </c>
      <c r="B16" s="384"/>
      <c r="C16" s="386" t="s">
        <v>80</v>
      </c>
      <c r="D16" s="386"/>
      <c r="E16" s="383" t="s">
        <v>560</v>
      </c>
      <c r="F16" s="383"/>
      <c r="G16" s="59" t="s">
        <v>26</v>
      </c>
      <c r="H16" s="55">
        <v>450400</v>
      </c>
      <c r="I16" s="56"/>
      <c r="J16" s="57"/>
      <c r="K16" s="57"/>
      <c r="L16" s="58">
        <f t="shared" si="0"/>
        <v>450400</v>
      </c>
    </row>
    <row r="17" spans="1:12" x14ac:dyDescent="0.25">
      <c r="A17" s="387" t="s">
        <v>77</v>
      </c>
      <c r="B17" s="386"/>
      <c r="C17" s="386" t="s">
        <v>77</v>
      </c>
      <c r="D17" s="386"/>
      <c r="E17" s="388" t="s">
        <v>586</v>
      </c>
      <c r="F17" s="389"/>
      <c r="G17" s="301" t="s">
        <v>26</v>
      </c>
      <c r="H17" s="60">
        <v>1850200</v>
      </c>
      <c r="I17" s="56"/>
      <c r="J17" s="57"/>
      <c r="K17" s="57"/>
      <c r="L17" s="58">
        <f t="shared" si="0"/>
        <v>1850200</v>
      </c>
    </row>
    <row r="18" spans="1:12" x14ac:dyDescent="0.25">
      <c r="A18" s="387" t="s">
        <v>77</v>
      </c>
      <c r="B18" s="386"/>
      <c r="C18" s="384">
        <v>2</v>
      </c>
      <c r="D18" s="384"/>
      <c r="E18" s="388" t="s">
        <v>557</v>
      </c>
      <c r="F18" s="389"/>
      <c r="G18" s="301" t="s">
        <v>26</v>
      </c>
      <c r="H18" s="55">
        <v>134100</v>
      </c>
      <c r="I18" s="56"/>
      <c r="J18" s="57"/>
      <c r="K18" s="57"/>
      <c r="L18" s="58">
        <f t="shared" si="0"/>
        <v>134100</v>
      </c>
    </row>
    <row r="19" spans="1:12" x14ac:dyDescent="0.25">
      <c r="A19" s="387" t="s">
        <v>77</v>
      </c>
      <c r="B19" s="386"/>
      <c r="C19" s="384">
        <v>6</v>
      </c>
      <c r="D19" s="384"/>
      <c r="E19" s="388" t="s">
        <v>251</v>
      </c>
      <c r="F19" s="389"/>
      <c r="G19" s="301" t="s">
        <v>26</v>
      </c>
      <c r="H19" s="55">
        <v>899696</v>
      </c>
      <c r="I19" s="56"/>
      <c r="J19" s="57"/>
      <c r="K19" s="57"/>
      <c r="L19" s="58">
        <f t="shared" si="0"/>
        <v>899696</v>
      </c>
    </row>
    <row r="20" spans="1:12" x14ac:dyDescent="0.25">
      <c r="A20" s="387" t="s">
        <v>77</v>
      </c>
      <c r="B20" s="386"/>
      <c r="C20" s="379" t="s">
        <v>265</v>
      </c>
      <c r="D20" s="380"/>
      <c r="E20" s="392" t="s">
        <v>588</v>
      </c>
      <c r="F20" s="393"/>
      <c r="G20" s="301" t="s">
        <v>26</v>
      </c>
      <c r="H20" s="55">
        <v>100304</v>
      </c>
      <c r="I20" s="56"/>
      <c r="J20" s="57"/>
      <c r="K20" s="57"/>
      <c r="L20" s="58">
        <f t="shared" si="0"/>
        <v>100304</v>
      </c>
    </row>
    <row r="21" spans="1:12" x14ac:dyDescent="0.25">
      <c r="A21" s="387" t="s">
        <v>77</v>
      </c>
      <c r="B21" s="386"/>
      <c r="C21" s="379" t="s">
        <v>80</v>
      </c>
      <c r="D21" s="380"/>
      <c r="E21" s="392" t="s">
        <v>587</v>
      </c>
      <c r="F21" s="393"/>
      <c r="G21" s="301" t="s">
        <v>26</v>
      </c>
      <c r="H21" s="55">
        <v>1021400</v>
      </c>
      <c r="I21" s="56"/>
      <c r="J21" s="57"/>
      <c r="K21" s="57"/>
      <c r="L21" s="58">
        <f t="shared" si="0"/>
        <v>1021400</v>
      </c>
    </row>
    <row r="22" spans="1:12" x14ac:dyDescent="0.25">
      <c r="A22" s="375">
        <v>1</v>
      </c>
      <c r="B22" s="376"/>
      <c r="C22" s="379" t="s">
        <v>206</v>
      </c>
      <c r="D22" s="380"/>
      <c r="E22" s="381" t="s">
        <v>463</v>
      </c>
      <c r="F22" s="382"/>
      <c r="G22" s="59" t="s">
        <v>26</v>
      </c>
      <c r="H22" s="55">
        <v>298000</v>
      </c>
      <c r="I22" s="56"/>
      <c r="J22" s="57"/>
      <c r="K22" s="57"/>
      <c r="L22" s="58">
        <f t="shared" si="0"/>
        <v>298000</v>
      </c>
    </row>
    <row r="23" spans="1:12" x14ac:dyDescent="0.25">
      <c r="A23" s="375">
        <v>1</v>
      </c>
      <c r="B23" s="376"/>
      <c r="C23" s="322">
        <v>7</v>
      </c>
      <c r="D23" s="324"/>
      <c r="E23" s="381" t="s">
        <v>589</v>
      </c>
      <c r="F23" s="382"/>
      <c r="G23" s="59" t="s">
        <v>26</v>
      </c>
      <c r="H23" s="55">
        <v>3900</v>
      </c>
      <c r="I23" s="56"/>
      <c r="J23" s="57"/>
      <c r="K23" s="57"/>
      <c r="L23" s="58">
        <f t="shared" si="0"/>
        <v>3900</v>
      </c>
    </row>
    <row r="24" spans="1:12" x14ac:dyDescent="0.25">
      <c r="A24" s="375">
        <v>1</v>
      </c>
      <c r="B24" s="376"/>
      <c r="C24" s="322">
        <v>6</v>
      </c>
      <c r="D24" s="324"/>
      <c r="E24" s="381" t="s">
        <v>405</v>
      </c>
      <c r="F24" s="382"/>
      <c r="G24" s="59" t="s">
        <v>26</v>
      </c>
      <c r="H24" s="55">
        <v>989800</v>
      </c>
      <c r="I24" s="56"/>
      <c r="J24" s="57"/>
      <c r="K24" s="57"/>
      <c r="L24" s="58">
        <f t="shared" si="0"/>
        <v>989800</v>
      </c>
    </row>
    <row r="25" spans="1:12" x14ac:dyDescent="0.25">
      <c r="A25" s="375">
        <v>1</v>
      </c>
      <c r="B25" s="376"/>
      <c r="C25" s="379" t="s">
        <v>80</v>
      </c>
      <c r="D25" s="380"/>
      <c r="E25" s="392" t="s">
        <v>564</v>
      </c>
      <c r="F25" s="393"/>
      <c r="G25" s="59" t="s">
        <v>26</v>
      </c>
      <c r="H25" s="55">
        <v>792800</v>
      </c>
      <c r="I25" s="56"/>
      <c r="J25" s="57"/>
      <c r="K25" s="57"/>
      <c r="L25" s="58">
        <f t="shared" si="0"/>
        <v>792800</v>
      </c>
    </row>
    <row r="26" spans="1:12" x14ac:dyDescent="0.25">
      <c r="A26" s="375">
        <v>1</v>
      </c>
      <c r="B26" s="376"/>
      <c r="C26" s="379" t="s">
        <v>265</v>
      </c>
      <c r="D26" s="380"/>
      <c r="E26" s="392" t="s">
        <v>381</v>
      </c>
      <c r="F26" s="393"/>
      <c r="G26" s="59" t="s">
        <v>26</v>
      </c>
      <c r="H26" s="55">
        <v>308200</v>
      </c>
      <c r="I26" s="56"/>
      <c r="J26" s="57"/>
      <c r="K26" s="57"/>
      <c r="L26" s="58">
        <f t="shared" si="0"/>
        <v>308200</v>
      </c>
    </row>
    <row r="27" spans="1:12" x14ac:dyDescent="0.25">
      <c r="A27" s="375">
        <v>1</v>
      </c>
      <c r="B27" s="376"/>
      <c r="C27" s="379" t="s">
        <v>265</v>
      </c>
      <c r="D27" s="380"/>
      <c r="E27" s="392" t="s">
        <v>389</v>
      </c>
      <c r="F27" s="393"/>
      <c r="G27" s="59" t="s">
        <v>26</v>
      </c>
      <c r="H27" s="55">
        <v>621251</v>
      </c>
      <c r="I27" s="56"/>
      <c r="J27" s="57"/>
      <c r="K27" s="57"/>
      <c r="L27" s="58">
        <f t="shared" si="0"/>
        <v>621251</v>
      </c>
    </row>
    <row r="28" spans="1:12" x14ac:dyDescent="0.25">
      <c r="A28" s="375">
        <v>1</v>
      </c>
      <c r="B28" s="376"/>
      <c r="C28" s="379" t="s">
        <v>74</v>
      </c>
      <c r="D28" s="380"/>
      <c r="E28" s="392" t="s">
        <v>283</v>
      </c>
      <c r="F28" s="393"/>
      <c r="G28" s="59" t="s">
        <v>26</v>
      </c>
      <c r="H28" s="55">
        <v>1096033</v>
      </c>
      <c r="I28" s="56"/>
      <c r="J28" s="57"/>
      <c r="K28" s="57"/>
      <c r="L28" s="58">
        <f t="shared" si="0"/>
        <v>1096033</v>
      </c>
    </row>
    <row r="29" spans="1:12" x14ac:dyDescent="0.25">
      <c r="A29" s="375"/>
      <c r="B29" s="376"/>
      <c r="C29" s="379"/>
      <c r="D29" s="380"/>
      <c r="E29" s="392"/>
      <c r="F29" s="393"/>
      <c r="G29" s="59"/>
      <c r="H29" s="55"/>
      <c r="I29" s="56"/>
      <c r="J29" s="57"/>
      <c r="K29" s="57"/>
      <c r="L29" s="58">
        <f t="shared" si="0"/>
        <v>0</v>
      </c>
    </row>
    <row r="30" spans="1:12" x14ac:dyDescent="0.25">
      <c r="A30" s="375"/>
      <c r="B30" s="376"/>
      <c r="C30" s="379"/>
      <c r="D30" s="380"/>
      <c r="E30" s="392"/>
      <c r="F30" s="393"/>
      <c r="G30" s="59"/>
      <c r="H30" s="55"/>
      <c r="I30" s="56"/>
      <c r="J30" s="57"/>
      <c r="K30" s="57"/>
      <c r="L30" s="58">
        <f t="shared" si="0"/>
        <v>0</v>
      </c>
    </row>
    <row r="31" spans="1:12" x14ac:dyDescent="0.25">
      <c r="A31" s="375"/>
      <c r="B31" s="376"/>
      <c r="C31" s="379"/>
      <c r="D31" s="380"/>
      <c r="E31" s="392"/>
      <c r="F31" s="393"/>
      <c r="G31" s="59"/>
      <c r="H31" s="55"/>
      <c r="I31" s="56"/>
      <c r="J31" s="57"/>
      <c r="K31" s="57"/>
      <c r="L31" s="58">
        <f t="shared" si="0"/>
        <v>0</v>
      </c>
    </row>
    <row r="32" spans="1:12" x14ac:dyDescent="0.25">
      <c r="A32" s="322"/>
      <c r="B32" s="324"/>
      <c r="C32" s="61" t="s">
        <v>45</v>
      </c>
      <c r="D32" s="62"/>
      <c r="E32" s="62"/>
      <c r="F32" s="62"/>
      <c r="G32" s="62"/>
      <c r="H32" s="63">
        <f>SUM(H15:H31)</f>
        <v>9280284</v>
      </c>
      <c r="I32" s="334"/>
      <c r="J32" s="335"/>
      <c r="K32" s="336"/>
      <c r="L32" s="63">
        <f>SUM(L15:L31)</f>
        <v>9280284</v>
      </c>
    </row>
    <row r="33" spans="1:13" x14ac:dyDescent="0.25">
      <c r="A33" s="64"/>
      <c r="B33" s="38"/>
      <c r="C33" s="29"/>
      <c r="D33" s="30"/>
      <c r="E33" s="30"/>
      <c r="F33" s="30"/>
      <c r="G33" s="30"/>
      <c r="H33" s="31"/>
      <c r="I33" s="31"/>
      <c r="J33" s="31"/>
      <c r="K33" s="31"/>
      <c r="L33" s="32"/>
    </row>
    <row r="34" spans="1:13" x14ac:dyDescent="0.25">
      <c r="A34" s="48" t="s">
        <v>46</v>
      </c>
      <c r="B34" s="38"/>
      <c r="C34" s="29"/>
      <c r="D34" s="30"/>
      <c r="E34" s="30"/>
      <c r="F34" s="30"/>
      <c r="G34" s="30"/>
      <c r="H34" s="31"/>
      <c r="I34" s="31"/>
      <c r="J34" s="31"/>
      <c r="K34" s="31"/>
      <c r="L34" s="32"/>
    </row>
    <row r="35" spans="1:13" x14ac:dyDescent="0.25">
      <c r="A35" s="48"/>
      <c r="B35" s="30"/>
      <c r="C35" s="30"/>
      <c r="D35" s="30"/>
      <c r="E35" s="30"/>
      <c r="F35" s="30"/>
      <c r="G35" s="30"/>
      <c r="H35" s="31"/>
      <c r="I35" s="31"/>
      <c r="J35" s="31"/>
      <c r="K35" s="31"/>
      <c r="L35" s="32"/>
    </row>
    <row r="36" spans="1:13" x14ac:dyDescent="0.25">
      <c r="A36" s="357" t="s">
        <v>47</v>
      </c>
      <c r="B36" s="358"/>
      <c r="C36" s="363" t="s">
        <v>48</v>
      </c>
      <c r="D36" s="364"/>
      <c r="E36" s="357" t="s">
        <v>49</v>
      </c>
      <c r="F36" s="369"/>
      <c r="G36" s="369"/>
      <c r="H36" s="369"/>
      <c r="I36" s="369"/>
      <c r="J36" s="369"/>
      <c r="K36" s="358"/>
      <c r="L36" s="372" t="s">
        <v>50</v>
      </c>
    </row>
    <row r="37" spans="1:13" x14ac:dyDescent="0.25">
      <c r="A37" s="359"/>
      <c r="B37" s="360"/>
      <c r="C37" s="365"/>
      <c r="D37" s="366"/>
      <c r="E37" s="359"/>
      <c r="F37" s="370"/>
      <c r="G37" s="370"/>
      <c r="H37" s="370"/>
      <c r="I37" s="370"/>
      <c r="J37" s="370"/>
      <c r="K37" s="360"/>
      <c r="L37" s="373"/>
    </row>
    <row r="38" spans="1:13" x14ac:dyDescent="0.25">
      <c r="A38" s="361"/>
      <c r="B38" s="362"/>
      <c r="C38" s="367"/>
      <c r="D38" s="368"/>
      <c r="E38" s="361"/>
      <c r="F38" s="371"/>
      <c r="G38" s="371"/>
      <c r="H38" s="371"/>
      <c r="I38" s="371"/>
      <c r="J38" s="371"/>
      <c r="K38" s="362"/>
      <c r="L38" s="374"/>
    </row>
    <row r="39" spans="1:13" x14ac:dyDescent="0.25">
      <c r="A39" s="352">
        <v>46209</v>
      </c>
      <c r="B39" s="353"/>
      <c r="C39" s="322">
        <v>232</v>
      </c>
      <c r="D39" s="324"/>
      <c r="E39" s="354" t="s">
        <v>590</v>
      </c>
      <c r="F39" s="355"/>
      <c r="G39" s="355"/>
      <c r="H39" s="355"/>
      <c r="I39" s="355"/>
      <c r="J39" s="355"/>
      <c r="K39" s="356"/>
      <c r="L39" s="55">
        <v>8621000</v>
      </c>
    </row>
    <row r="40" spans="1:13" x14ac:dyDescent="0.25">
      <c r="A40" s="352">
        <v>46217</v>
      </c>
      <c r="B40" s="353"/>
      <c r="C40" s="322" t="s">
        <v>100</v>
      </c>
      <c r="D40" s="324"/>
      <c r="E40" s="354" t="s">
        <v>244</v>
      </c>
      <c r="F40" s="355"/>
      <c r="G40" s="355"/>
      <c r="H40" s="355"/>
      <c r="I40" s="355"/>
      <c r="J40" s="355"/>
      <c r="K40" s="356"/>
      <c r="L40" s="55">
        <v>659284</v>
      </c>
    </row>
    <row r="41" spans="1:13" x14ac:dyDescent="0.25">
      <c r="A41" s="352"/>
      <c r="B41" s="353"/>
      <c r="C41" s="322"/>
      <c r="D41" s="324"/>
      <c r="E41" s="354"/>
      <c r="F41" s="355"/>
      <c r="G41" s="355"/>
      <c r="H41" s="355"/>
      <c r="I41" s="355"/>
      <c r="J41" s="355"/>
      <c r="K41" s="356"/>
      <c r="L41" s="55"/>
    </row>
    <row r="42" spans="1:13" x14ac:dyDescent="0.25">
      <c r="A42" s="352"/>
      <c r="B42" s="353"/>
      <c r="C42" s="322"/>
      <c r="D42" s="324"/>
      <c r="E42" s="354"/>
      <c r="F42" s="355"/>
      <c r="G42" s="355"/>
      <c r="H42" s="355"/>
      <c r="I42" s="355"/>
      <c r="J42" s="355"/>
      <c r="K42" s="356"/>
      <c r="L42" s="55"/>
    </row>
    <row r="43" spans="1:13" x14ac:dyDescent="0.25">
      <c r="A43" s="352"/>
      <c r="B43" s="353"/>
      <c r="C43" s="322"/>
      <c r="D43" s="324"/>
      <c r="E43" s="354"/>
      <c r="F43" s="355"/>
      <c r="G43" s="355"/>
      <c r="H43" s="355"/>
      <c r="I43" s="355"/>
      <c r="J43" s="355"/>
      <c r="K43" s="356"/>
      <c r="L43" s="55"/>
    </row>
    <row r="44" spans="1:13" x14ac:dyDescent="0.25">
      <c r="A44" s="352"/>
      <c r="B44" s="353"/>
      <c r="C44" s="322"/>
      <c r="D44" s="324"/>
      <c r="E44" s="354"/>
      <c r="F44" s="355"/>
      <c r="G44" s="355"/>
      <c r="H44" s="355"/>
      <c r="I44" s="355"/>
      <c r="J44" s="355"/>
      <c r="K44" s="356"/>
      <c r="L44" s="55"/>
    </row>
    <row r="45" spans="1:13" x14ac:dyDescent="0.25">
      <c r="A45" s="352"/>
      <c r="B45" s="353"/>
      <c r="C45" s="322"/>
      <c r="D45" s="324"/>
      <c r="E45" s="354"/>
      <c r="F45" s="355"/>
      <c r="G45" s="355"/>
      <c r="H45" s="355"/>
      <c r="I45" s="355"/>
      <c r="J45" s="355"/>
      <c r="K45" s="356"/>
      <c r="L45" s="55"/>
      <c r="M45" s="33"/>
    </row>
    <row r="46" spans="1:13" x14ac:dyDescent="0.25">
      <c r="A46" s="334" t="s">
        <v>51</v>
      </c>
      <c r="B46" s="335"/>
      <c r="C46" s="335"/>
      <c r="D46" s="335"/>
      <c r="E46" s="335"/>
      <c r="F46" s="335"/>
      <c r="G46" s="335"/>
      <c r="H46" s="335"/>
      <c r="I46" s="335"/>
      <c r="J46" s="335"/>
      <c r="K46" s="336"/>
      <c r="L46" s="63">
        <f>SUM(L39:L45)</f>
        <v>9280284</v>
      </c>
    </row>
    <row r="47" spans="1:13" x14ac:dyDescent="0.25">
      <c r="A47" s="65"/>
      <c r="B47" s="66"/>
      <c r="C47" s="66"/>
      <c r="D47" s="66"/>
      <c r="E47" s="66"/>
      <c r="F47" s="66"/>
      <c r="G47" s="66"/>
      <c r="H47" s="31"/>
      <c r="I47" s="31"/>
      <c r="J47" s="31"/>
      <c r="K47" s="31"/>
      <c r="L47" s="31"/>
    </row>
    <row r="48" spans="1:13" x14ac:dyDescent="0.25">
      <c r="A48" s="48" t="s">
        <v>52</v>
      </c>
      <c r="B48" s="30"/>
      <c r="C48" s="30"/>
      <c r="D48" s="30"/>
      <c r="E48" s="30"/>
      <c r="F48" s="30"/>
      <c r="G48" s="30"/>
      <c r="H48" s="31"/>
      <c r="I48" s="31"/>
      <c r="J48" s="31"/>
      <c r="K48" s="31"/>
      <c r="L48" s="31"/>
    </row>
    <row r="49" spans="1:13" x14ac:dyDescent="0.25">
      <c r="A49" s="44"/>
      <c r="B49" s="45"/>
      <c r="C49" s="45"/>
      <c r="D49" s="45"/>
      <c r="E49" s="45"/>
      <c r="F49" s="45"/>
      <c r="G49" s="45"/>
      <c r="H49" s="31"/>
      <c r="I49" s="31"/>
      <c r="J49" s="46"/>
      <c r="K49" s="46"/>
      <c r="L49" s="31"/>
    </row>
    <row r="50" spans="1:13" x14ac:dyDescent="0.25">
      <c r="A50" s="337" t="s">
        <v>53</v>
      </c>
      <c r="B50" s="338"/>
      <c r="C50" s="337" t="s">
        <v>54</v>
      </c>
      <c r="D50" s="338"/>
      <c r="E50" s="298" t="s">
        <v>55</v>
      </c>
      <c r="F50" s="68" t="s">
        <v>37</v>
      </c>
      <c r="G50" s="339"/>
      <c r="H50" s="340"/>
      <c r="I50" s="340"/>
      <c r="J50" s="340"/>
      <c r="K50" s="341"/>
      <c r="L50" s="348" t="s">
        <v>56</v>
      </c>
    </row>
    <row r="51" spans="1:13" x14ac:dyDescent="0.25">
      <c r="A51" s="316"/>
      <c r="B51" s="317"/>
      <c r="C51" s="350" t="s">
        <v>57</v>
      </c>
      <c r="D51" s="351"/>
      <c r="E51" s="69"/>
      <c r="F51" s="44"/>
      <c r="G51" s="342"/>
      <c r="H51" s="343"/>
      <c r="I51" s="343"/>
      <c r="J51" s="343"/>
      <c r="K51" s="344"/>
      <c r="L51" s="349"/>
    </row>
    <row r="52" spans="1:13" x14ac:dyDescent="0.25">
      <c r="A52" s="310"/>
      <c r="B52" s="312"/>
      <c r="C52" s="310"/>
      <c r="D52" s="312"/>
      <c r="E52" s="70"/>
      <c r="F52" s="300"/>
      <c r="G52" s="342"/>
      <c r="H52" s="343"/>
      <c r="I52" s="343"/>
      <c r="J52" s="343"/>
      <c r="K52" s="344"/>
      <c r="L52" s="55"/>
    </row>
    <row r="53" spans="1:13" x14ac:dyDescent="0.25">
      <c r="A53" s="310"/>
      <c r="B53" s="312"/>
      <c r="C53" s="310"/>
      <c r="D53" s="312"/>
      <c r="E53" s="70"/>
      <c r="F53" s="64"/>
      <c r="G53" s="345"/>
      <c r="H53" s="346"/>
      <c r="I53" s="346"/>
      <c r="J53" s="346"/>
      <c r="K53" s="347"/>
      <c r="L53" s="72"/>
    </row>
    <row r="54" spans="1:13" x14ac:dyDescent="0.25">
      <c r="A54" s="322" t="s">
        <v>41</v>
      </c>
      <c r="B54" s="323"/>
      <c r="C54" s="323"/>
      <c r="D54" s="323"/>
      <c r="E54" s="323"/>
      <c r="F54" s="323"/>
      <c r="G54" s="323"/>
      <c r="H54" s="323"/>
      <c r="I54" s="323"/>
      <c r="J54" s="323"/>
      <c r="K54" s="324"/>
      <c r="L54" s="73">
        <f>SUM(L52:L53)</f>
        <v>0</v>
      </c>
    </row>
    <row r="55" spans="1:13" x14ac:dyDescent="0.25">
      <c r="A55" s="325"/>
      <c r="B55" s="326"/>
      <c r="C55" s="326"/>
      <c r="D55" s="326"/>
      <c r="E55" s="326"/>
      <c r="F55" s="326"/>
      <c r="G55" s="326"/>
      <c r="H55" s="326"/>
      <c r="I55" s="326"/>
      <c r="J55" s="326"/>
      <c r="K55" s="326"/>
      <c r="L55" s="326"/>
    </row>
    <row r="56" spans="1:13" x14ac:dyDescent="0.25">
      <c r="A56" s="327" t="s">
        <v>58</v>
      </c>
      <c r="B56" s="328"/>
      <c r="C56" s="328"/>
      <c r="D56" s="328"/>
      <c r="E56" s="328"/>
      <c r="F56" s="328"/>
      <c r="G56" s="328"/>
      <c r="H56" s="328"/>
      <c r="I56" s="328"/>
      <c r="J56" s="329"/>
      <c r="K56" s="330">
        <f>K9+L32-L46-L54</f>
        <v>0</v>
      </c>
      <c r="L56" s="330"/>
    </row>
    <row r="57" spans="1:13" x14ac:dyDescent="0.25">
      <c r="A57" s="331"/>
      <c r="B57" s="332"/>
      <c r="C57" s="332"/>
      <c r="D57" s="332"/>
      <c r="E57" s="332"/>
      <c r="F57" s="332"/>
      <c r="G57" s="332"/>
      <c r="H57" s="332"/>
      <c r="I57" s="332"/>
      <c r="J57" s="332"/>
      <c r="K57" s="332"/>
      <c r="L57" s="333"/>
    </row>
    <row r="58" spans="1:13" x14ac:dyDescent="0.25">
      <c r="A58" s="305" t="s">
        <v>59</v>
      </c>
      <c r="B58" s="305"/>
      <c r="C58" s="305"/>
      <c r="D58" s="305"/>
      <c r="E58" s="305"/>
      <c r="F58" s="305" t="s">
        <v>60</v>
      </c>
      <c r="G58" s="305"/>
      <c r="H58" s="305"/>
      <c r="I58" s="306"/>
      <c r="J58" s="309" t="s">
        <v>61</v>
      </c>
      <c r="K58" s="309"/>
      <c r="L58" s="309"/>
    </row>
    <row r="59" spans="1:13" x14ac:dyDescent="0.25">
      <c r="A59" s="310"/>
      <c r="B59" s="311"/>
      <c r="C59" s="311"/>
      <c r="D59" s="311"/>
      <c r="E59" s="312"/>
      <c r="F59" s="310"/>
      <c r="G59" s="311"/>
      <c r="H59" s="312"/>
      <c r="I59" s="307"/>
      <c r="J59" s="313"/>
      <c r="K59" s="314"/>
      <c r="L59" s="315"/>
      <c r="M59" s="74"/>
    </row>
    <row r="60" spans="1:13" x14ac:dyDescent="0.25">
      <c r="A60" s="316"/>
      <c r="B60" s="317"/>
      <c r="C60" s="317"/>
      <c r="D60" s="317"/>
      <c r="E60" s="318"/>
      <c r="F60" s="316"/>
      <c r="G60" s="317"/>
      <c r="H60" s="318"/>
      <c r="I60" s="308"/>
      <c r="J60" s="319"/>
      <c r="K60" s="320"/>
      <c r="L60" s="321"/>
    </row>
    <row r="61" spans="1:13" x14ac:dyDescent="0.25">
      <c r="A61" s="33"/>
      <c r="B61" s="33"/>
      <c r="C61" s="33"/>
      <c r="D61" s="33"/>
      <c r="E61" s="33"/>
      <c r="F61" s="33"/>
      <c r="G61" s="33"/>
      <c r="H61" s="75"/>
      <c r="I61" s="75"/>
      <c r="J61" s="75"/>
      <c r="K61" s="75"/>
      <c r="L61" s="75"/>
    </row>
  </sheetData>
  <mergeCells count="116">
    <mergeCell ref="F59:H59"/>
    <mergeCell ref="J59:L59"/>
    <mergeCell ref="A60:E60"/>
    <mergeCell ref="F60:H60"/>
    <mergeCell ref="J60:L60"/>
    <mergeCell ref="A54:K54"/>
    <mergeCell ref="A55:L55"/>
    <mergeCell ref="A56:J56"/>
    <mergeCell ref="K56:L56"/>
    <mergeCell ref="A57:L57"/>
    <mergeCell ref="A58:E58"/>
    <mergeCell ref="F58:H58"/>
    <mergeCell ref="I58:I60"/>
    <mergeCell ref="J58:L58"/>
    <mergeCell ref="A59:E59"/>
    <mergeCell ref="L50:L51"/>
    <mergeCell ref="A51:B51"/>
    <mergeCell ref="C51:D51"/>
    <mergeCell ref="A52:B52"/>
    <mergeCell ref="C52:D52"/>
    <mergeCell ref="A53:B53"/>
    <mergeCell ref="C53:D53"/>
    <mergeCell ref="A45:B45"/>
    <mergeCell ref="C45:D45"/>
    <mergeCell ref="E45:K45"/>
    <mergeCell ref="A46:K46"/>
    <mergeCell ref="A50:B50"/>
    <mergeCell ref="C50:D50"/>
    <mergeCell ref="G50:K53"/>
    <mergeCell ref="A43:B43"/>
    <mergeCell ref="C43:D43"/>
    <mergeCell ref="E43:K43"/>
    <mergeCell ref="A44:B44"/>
    <mergeCell ref="C44:D44"/>
    <mergeCell ref="E44:K44"/>
    <mergeCell ref="A41:B41"/>
    <mergeCell ref="C41:D41"/>
    <mergeCell ref="E41:K41"/>
    <mergeCell ref="A42:B42"/>
    <mergeCell ref="C42:D42"/>
    <mergeCell ref="E42:K42"/>
    <mergeCell ref="L36:L38"/>
    <mergeCell ref="A39:B39"/>
    <mergeCell ref="C39:D39"/>
    <mergeCell ref="E39:K39"/>
    <mergeCell ref="A40:B40"/>
    <mergeCell ref="C40:D40"/>
    <mergeCell ref="E40:K40"/>
    <mergeCell ref="A31:B31"/>
    <mergeCell ref="C31:D31"/>
    <mergeCell ref="E31:F31"/>
    <mergeCell ref="A32:B32"/>
    <mergeCell ref="I32:K32"/>
    <mergeCell ref="A36:B38"/>
    <mergeCell ref="C36:D38"/>
    <mergeCell ref="E36:K38"/>
    <mergeCell ref="A29:B29"/>
    <mergeCell ref="C29:D29"/>
    <mergeCell ref="E29:F29"/>
    <mergeCell ref="A30:B30"/>
    <mergeCell ref="C30:D30"/>
    <mergeCell ref="E30:F30"/>
    <mergeCell ref="A27:B27"/>
    <mergeCell ref="C27:D27"/>
    <mergeCell ref="E27:F27"/>
    <mergeCell ref="A28:B28"/>
    <mergeCell ref="C28:D28"/>
    <mergeCell ref="E28:F28"/>
    <mergeCell ref="A25:B25"/>
    <mergeCell ref="C25:D25"/>
    <mergeCell ref="E25:F25"/>
    <mergeCell ref="A26:B26"/>
    <mergeCell ref="C26:D26"/>
    <mergeCell ref="E26:F26"/>
    <mergeCell ref="A23:B23"/>
    <mergeCell ref="C23:D23"/>
    <mergeCell ref="E23:F23"/>
    <mergeCell ref="A24:B24"/>
    <mergeCell ref="C24:D24"/>
    <mergeCell ref="E24:F24"/>
    <mergeCell ref="A21:B21"/>
    <mergeCell ref="C21:D21"/>
    <mergeCell ref="E21:F21"/>
    <mergeCell ref="A22:B22"/>
    <mergeCell ref="C22:D22"/>
    <mergeCell ref="E22:F22"/>
    <mergeCell ref="A19:B19"/>
    <mergeCell ref="C19:D19"/>
    <mergeCell ref="E19:F19"/>
    <mergeCell ref="A20:B20"/>
    <mergeCell ref="C20:D20"/>
    <mergeCell ref="E20:F20"/>
    <mergeCell ref="A17:B17"/>
    <mergeCell ref="C17:D17"/>
    <mergeCell ref="E17:F17"/>
    <mergeCell ref="A18:B18"/>
    <mergeCell ref="C18:D18"/>
    <mergeCell ref="E18:F18"/>
    <mergeCell ref="A15:B15"/>
    <mergeCell ref="C15:D15"/>
    <mergeCell ref="E15:F15"/>
    <mergeCell ref="A16:B16"/>
    <mergeCell ref="C16:D16"/>
    <mergeCell ref="E16:F16"/>
    <mergeCell ref="A13:B14"/>
    <mergeCell ref="C13:D14"/>
    <mergeCell ref="E13:F14"/>
    <mergeCell ref="G13:G14"/>
    <mergeCell ref="H13:H14"/>
    <mergeCell ref="I13:I14"/>
    <mergeCell ref="A1:L1"/>
    <mergeCell ref="A4:C4"/>
    <mergeCell ref="E4:F5"/>
    <mergeCell ref="A5:C5"/>
    <mergeCell ref="A9:J9"/>
    <mergeCell ref="K9:L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601"/>
  <sheetViews>
    <sheetView topLeftCell="A1549" zoomScaleNormal="100" workbookViewId="0">
      <selection activeCell="A1565" sqref="A1565"/>
    </sheetView>
  </sheetViews>
  <sheetFormatPr baseColWidth="10" defaultRowHeight="15" x14ac:dyDescent="0.25"/>
  <cols>
    <col min="2" max="3" width="11.42578125" style="78"/>
    <col min="4" max="4" width="33.5703125" customWidth="1"/>
    <col min="5" max="6" width="11.42578125" style="77"/>
    <col min="7" max="7" width="11.42578125" style="79"/>
  </cols>
  <sheetData>
    <row r="1" spans="1:8" hidden="1" x14ac:dyDescent="0.25">
      <c r="A1" s="76">
        <v>45723</v>
      </c>
      <c r="B1" s="78">
        <v>2154</v>
      </c>
      <c r="C1" s="78" t="s">
        <v>26</v>
      </c>
      <c r="D1" t="s">
        <v>63</v>
      </c>
      <c r="E1" s="77">
        <v>672300</v>
      </c>
      <c r="F1" s="77">
        <v>672300</v>
      </c>
      <c r="G1" s="79">
        <v>45722</v>
      </c>
      <c r="H1">
        <v>1</v>
      </c>
    </row>
    <row r="2" spans="1:8" hidden="1" x14ac:dyDescent="0.25">
      <c r="A2" s="76">
        <v>45740</v>
      </c>
      <c r="B2" s="78">
        <v>2205</v>
      </c>
      <c r="C2" s="78" t="s">
        <v>26</v>
      </c>
      <c r="D2" t="s">
        <v>66</v>
      </c>
      <c r="E2" s="77">
        <v>679600</v>
      </c>
      <c r="F2" s="77">
        <v>679600</v>
      </c>
      <c r="G2" s="79">
        <v>45721</v>
      </c>
      <c r="H2">
        <v>1</v>
      </c>
    </row>
    <row r="3" spans="1:8" hidden="1" x14ac:dyDescent="0.25">
      <c r="A3" s="76">
        <v>45744</v>
      </c>
      <c r="B3" s="78">
        <v>2234</v>
      </c>
      <c r="C3" s="78" t="s">
        <v>26</v>
      </c>
      <c r="D3" t="s">
        <v>70</v>
      </c>
      <c r="E3" s="77">
        <v>323400</v>
      </c>
      <c r="F3" s="77">
        <v>323400</v>
      </c>
      <c r="G3" s="79">
        <v>45719</v>
      </c>
      <c r="H3">
        <v>1</v>
      </c>
    </row>
    <row r="4" spans="1:8" hidden="1" x14ac:dyDescent="0.25">
      <c r="A4" s="76">
        <v>45752</v>
      </c>
      <c r="B4" s="78">
        <v>2246</v>
      </c>
      <c r="C4" s="78" t="s">
        <v>26</v>
      </c>
      <c r="D4" t="s">
        <v>82</v>
      </c>
      <c r="E4" s="77">
        <v>636400</v>
      </c>
      <c r="F4" s="77">
        <v>636400</v>
      </c>
      <c r="G4" s="79">
        <v>45755</v>
      </c>
      <c r="H4">
        <v>1</v>
      </c>
    </row>
    <row r="5" spans="1:8" hidden="1" x14ac:dyDescent="0.25">
      <c r="A5" s="76">
        <v>45754</v>
      </c>
      <c r="B5" s="78">
        <v>2154</v>
      </c>
      <c r="C5" s="78" t="s">
        <v>26</v>
      </c>
      <c r="D5" t="s">
        <v>63</v>
      </c>
      <c r="E5" s="77">
        <v>672300</v>
      </c>
      <c r="F5" s="77">
        <v>672300</v>
      </c>
      <c r="G5" s="79">
        <v>45754</v>
      </c>
      <c r="H5">
        <v>2</v>
      </c>
    </row>
    <row r="6" spans="1:8" hidden="1" x14ac:dyDescent="0.25">
      <c r="A6" s="76">
        <v>45754</v>
      </c>
      <c r="B6" s="78">
        <v>2249</v>
      </c>
      <c r="C6" s="78" t="s">
        <v>26</v>
      </c>
      <c r="D6" t="s">
        <v>88</v>
      </c>
      <c r="E6" s="77">
        <v>1060500</v>
      </c>
      <c r="F6" s="77">
        <v>1060500</v>
      </c>
      <c r="G6" s="79">
        <v>45757</v>
      </c>
      <c r="H6">
        <v>1</v>
      </c>
    </row>
    <row r="7" spans="1:8" hidden="1" x14ac:dyDescent="0.25">
      <c r="A7" s="76">
        <v>45755</v>
      </c>
      <c r="B7" s="78">
        <v>2255</v>
      </c>
      <c r="C7" s="78" t="s">
        <v>26</v>
      </c>
      <c r="D7" t="s">
        <v>85</v>
      </c>
      <c r="E7" s="77">
        <v>570600</v>
      </c>
      <c r="F7" s="77">
        <v>570600</v>
      </c>
      <c r="G7" s="79">
        <v>45756</v>
      </c>
      <c r="H7">
        <v>1</v>
      </c>
    </row>
    <row r="8" spans="1:8" hidden="1" x14ac:dyDescent="0.25">
      <c r="A8" s="76">
        <v>45769</v>
      </c>
      <c r="B8" s="78">
        <v>2280</v>
      </c>
      <c r="C8" s="78" t="s">
        <v>26</v>
      </c>
      <c r="D8" t="s">
        <v>98</v>
      </c>
      <c r="E8" s="77">
        <v>433600</v>
      </c>
      <c r="F8" s="77">
        <v>433600</v>
      </c>
      <c r="G8" s="79">
        <v>45769</v>
      </c>
      <c r="H8">
        <v>1</v>
      </c>
    </row>
    <row r="9" spans="1:8" hidden="1" x14ac:dyDescent="0.25">
      <c r="A9" s="76">
        <v>45769</v>
      </c>
      <c r="B9" s="78">
        <v>2282</v>
      </c>
      <c r="C9" s="78" t="s">
        <v>26</v>
      </c>
      <c r="D9" t="s">
        <v>97</v>
      </c>
      <c r="E9" s="77">
        <v>480300</v>
      </c>
      <c r="F9" s="77">
        <v>480300</v>
      </c>
      <c r="G9" s="79">
        <v>45769</v>
      </c>
      <c r="H9">
        <v>1</v>
      </c>
    </row>
    <row r="10" spans="1:8" hidden="1" x14ac:dyDescent="0.25">
      <c r="A10" s="76">
        <v>45771</v>
      </c>
      <c r="B10" s="78">
        <v>2205</v>
      </c>
      <c r="C10" s="78" t="s">
        <v>26</v>
      </c>
      <c r="D10" t="s">
        <v>66</v>
      </c>
      <c r="E10" s="77">
        <v>679600</v>
      </c>
      <c r="F10" s="77">
        <v>644766</v>
      </c>
      <c r="G10" s="79">
        <v>45721</v>
      </c>
      <c r="H10">
        <v>2</v>
      </c>
    </row>
    <row r="11" spans="1:8" hidden="1" x14ac:dyDescent="0.25">
      <c r="A11" s="76">
        <v>45771</v>
      </c>
      <c r="B11" s="78">
        <v>2286</v>
      </c>
      <c r="C11" s="78" t="s">
        <v>26</v>
      </c>
      <c r="D11" t="s">
        <v>91</v>
      </c>
      <c r="E11" s="77">
        <v>1661600</v>
      </c>
      <c r="F11" s="77">
        <v>1661600</v>
      </c>
      <c r="G11" s="79">
        <v>45771</v>
      </c>
      <c r="H11">
        <v>1</v>
      </c>
    </row>
    <row r="12" spans="1:8" hidden="1" x14ac:dyDescent="0.25">
      <c r="A12" s="76">
        <v>45773</v>
      </c>
      <c r="B12" s="78">
        <v>2290</v>
      </c>
      <c r="C12" s="78" t="s">
        <v>26</v>
      </c>
      <c r="D12" t="s">
        <v>95</v>
      </c>
      <c r="E12" s="77">
        <v>629900</v>
      </c>
      <c r="F12" s="77">
        <v>629900</v>
      </c>
      <c r="G12" s="79">
        <v>45777</v>
      </c>
      <c r="H12">
        <v>1</v>
      </c>
    </row>
    <row r="13" spans="1:8" hidden="1" x14ac:dyDescent="0.25">
      <c r="A13" s="76">
        <v>45775</v>
      </c>
      <c r="B13" s="78">
        <v>2234</v>
      </c>
      <c r="C13" s="78" t="s">
        <v>26</v>
      </c>
      <c r="D13" t="s">
        <v>70</v>
      </c>
      <c r="E13" s="77">
        <v>323400</v>
      </c>
      <c r="F13" s="77">
        <v>323400</v>
      </c>
      <c r="G13" s="79">
        <v>38439</v>
      </c>
      <c r="H13">
        <v>2</v>
      </c>
    </row>
    <row r="14" spans="1:8" hidden="1" x14ac:dyDescent="0.25">
      <c r="A14" s="76">
        <v>45778</v>
      </c>
      <c r="B14" s="78">
        <v>2311</v>
      </c>
      <c r="C14" s="78" t="s">
        <v>26</v>
      </c>
      <c r="D14" t="s">
        <v>93</v>
      </c>
      <c r="E14" s="77">
        <v>418100</v>
      </c>
      <c r="F14" s="77">
        <v>418100</v>
      </c>
      <c r="G14" s="79">
        <v>45775</v>
      </c>
      <c r="H14">
        <v>1</v>
      </c>
    </row>
    <row r="15" spans="1:8" hidden="1" x14ac:dyDescent="0.25">
      <c r="A15" s="76">
        <v>45782</v>
      </c>
      <c r="B15" s="78">
        <v>2246</v>
      </c>
      <c r="C15" s="78" t="s">
        <v>26</v>
      </c>
      <c r="D15" t="s">
        <v>82</v>
      </c>
      <c r="E15" s="77">
        <v>636400</v>
      </c>
      <c r="F15" s="77">
        <v>636400</v>
      </c>
      <c r="G15" s="79">
        <v>45785</v>
      </c>
      <c r="H15">
        <v>2</v>
      </c>
    </row>
    <row r="16" spans="1:8" hidden="1" x14ac:dyDescent="0.25">
      <c r="A16" s="76">
        <v>45784</v>
      </c>
      <c r="B16" s="78">
        <v>2154</v>
      </c>
      <c r="C16" s="78" t="s">
        <v>26</v>
      </c>
      <c r="D16" t="s">
        <v>63</v>
      </c>
      <c r="E16" s="77">
        <v>672300</v>
      </c>
      <c r="F16" s="77">
        <v>672300</v>
      </c>
      <c r="G16" s="79">
        <v>45785</v>
      </c>
      <c r="H16">
        <v>3</v>
      </c>
    </row>
    <row r="17" spans="1:8" hidden="1" x14ac:dyDescent="0.25">
      <c r="A17" s="76">
        <v>45784</v>
      </c>
      <c r="B17" s="78">
        <v>2249</v>
      </c>
      <c r="C17" s="78" t="s">
        <v>26</v>
      </c>
      <c r="D17" t="s">
        <v>88</v>
      </c>
      <c r="E17" s="77">
        <v>1060500</v>
      </c>
      <c r="F17" s="77">
        <v>1060500</v>
      </c>
      <c r="G17" s="79">
        <v>45783</v>
      </c>
      <c r="H17">
        <v>2</v>
      </c>
    </row>
    <row r="18" spans="1:8" hidden="1" x14ac:dyDescent="0.25">
      <c r="A18" s="76">
        <v>45785</v>
      </c>
      <c r="B18" s="78">
        <v>2255</v>
      </c>
      <c r="C18" s="78" t="s">
        <v>26</v>
      </c>
      <c r="D18" t="s">
        <v>85</v>
      </c>
      <c r="E18" s="77">
        <v>570600</v>
      </c>
      <c r="F18" s="77">
        <v>576877</v>
      </c>
      <c r="G18" s="79">
        <v>45796</v>
      </c>
      <c r="H18">
        <v>2</v>
      </c>
    </row>
    <row r="19" spans="1:8" hidden="1" x14ac:dyDescent="0.25">
      <c r="A19" s="76">
        <v>45798</v>
      </c>
      <c r="B19" s="78">
        <v>2344</v>
      </c>
      <c r="C19" s="78" t="s">
        <v>26</v>
      </c>
      <c r="D19" t="s">
        <v>109</v>
      </c>
      <c r="E19" s="77">
        <v>317700</v>
      </c>
      <c r="F19" s="77">
        <v>317700</v>
      </c>
      <c r="G19" s="79">
        <v>45798</v>
      </c>
      <c r="H19">
        <v>1</v>
      </c>
    </row>
    <row r="20" spans="1:8" hidden="1" x14ac:dyDescent="0.25">
      <c r="A20" s="76">
        <v>45799</v>
      </c>
      <c r="B20" s="78">
        <v>2280</v>
      </c>
      <c r="C20" s="78" t="s">
        <v>26</v>
      </c>
      <c r="D20" t="s">
        <v>98</v>
      </c>
      <c r="E20" s="77">
        <v>433600</v>
      </c>
      <c r="F20" s="77">
        <v>433600</v>
      </c>
      <c r="G20" s="79">
        <v>45801</v>
      </c>
      <c r="H20">
        <v>2</v>
      </c>
    </row>
    <row r="21" spans="1:8" hidden="1" x14ac:dyDescent="0.25">
      <c r="A21" s="76">
        <v>45799</v>
      </c>
      <c r="B21" s="78">
        <v>2282</v>
      </c>
      <c r="C21" s="78" t="s">
        <v>26</v>
      </c>
      <c r="D21" t="s">
        <v>97</v>
      </c>
      <c r="E21" s="77">
        <v>480300</v>
      </c>
      <c r="F21" s="77">
        <v>480300</v>
      </c>
      <c r="G21" s="79">
        <v>45803</v>
      </c>
      <c r="H21">
        <v>2</v>
      </c>
    </row>
    <row r="22" spans="1:8" hidden="1" x14ac:dyDescent="0.25">
      <c r="A22" s="76">
        <v>45799</v>
      </c>
      <c r="B22" s="78">
        <v>2346</v>
      </c>
      <c r="C22" s="78" t="s">
        <v>26</v>
      </c>
      <c r="D22" t="s">
        <v>111</v>
      </c>
      <c r="E22" s="77">
        <v>656200</v>
      </c>
      <c r="F22" s="77">
        <v>656200</v>
      </c>
      <c r="G22" s="79">
        <v>45799</v>
      </c>
      <c r="H22">
        <v>1</v>
      </c>
    </row>
    <row r="23" spans="1:8" hidden="1" x14ac:dyDescent="0.25">
      <c r="A23" s="76">
        <v>45800</v>
      </c>
      <c r="B23" s="78">
        <v>2348</v>
      </c>
      <c r="C23" s="78" t="s">
        <v>26</v>
      </c>
      <c r="D23" t="s">
        <v>113</v>
      </c>
      <c r="E23" s="77">
        <v>393500</v>
      </c>
      <c r="F23" s="77">
        <v>393500</v>
      </c>
      <c r="G23" s="79">
        <v>45803</v>
      </c>
      <c r="H23">
        <v>1</v>
      </c>
    </row>
    <row r="24" spans="1:8" hidden="1" x14ac:dyDescent="0.25">
      <c r="A24" s="76">
        <v>45801</v>
      </c>
      <c r="B24" s="78">
        <v>2205</v>
      </c>
      <c r="C24" s="78" t="s">
        <v>26</v>
      </c>
      <c r="D24" t="s">
        <v>66</v>
      </c>
      <c r="E24" s="77">
        <v>679600</v>
      </c>
      <c r="F24" s="77">
        <v>547250</v>
      </c>
      <c r="G24" s="79">
        <v>45721</v>
      </c>
      <c r="H24">
        <v>3</v>
      </c>
    </row>
    <row r="25" spans="1:8" hidden="1" x14ac:dyDescent="0.25">
      <c r="A25" s="76">
        <v>45801</v>
      </c>
      <c r="B25" s="78">
        <v>2286</v>
      </c>
      <c r="C25" s="78" t="s">
        <v>26</v>
      </c>
      <c r="D25" t="s">
        <v>91</v>
      </c>
      <c r="E25" s="77">
        <v>1661600</v>
      </c>
      <c r="F25" s="77">
        <v>1661600</v>
      </c>
      <c r="G25" s="79">
        <v>45800</v>
      </c>
      <c r="H25">
        <v>2</v>
      </c>
    </row>
    <row r="26" spans="1:8" hidden="1" x14ac:dyDescent="0.25">
      <c r="A26" s="76">
        <v>45801</v>
      </c>
      <c r="B26" s="78">
        <v>2349</v>
      </c>
      <c r="C26" s="78" t="s">
        <v>26</v>
      </c>
      <c r="D26" t="s">
        <v>115</v>
      </c>
      <c r="E26" s="77">
        <v>920600</v>
      </c>
      <c r="F26" s="77">
        <v>920600</v>
      </c>
      <c r="G26" s="79">
        <v>45798</v>
      </c>
      <c r="H26">
        <v>1</v>
      </c>
    </row>
    <row r="27" spans="1:8" hidden="1" x14ac:dyDescent="0.25">
      <c r="A27" s="76">
        <v>45803</v>
      </c>
      <c r="B27" s="78">
        <v>2290</v>
      </c>
      <c r="C27" s="78" t="s">
        <v>26</v>
      </c>
      <c r="D27" t="s">
        <v>95</v>
      </c>
      <c r="E27" s="77">
        <v>629900</v>
      </c>
      <c r="F27" s="77">
        <v>638719</v>
      </c>
      <c r="G27" s="79">
        <v>45817</v>
      </c>
      <c r="H27">
        <v>2</v>
      </c>
    </row>
    <row r="28" spans="1:8" hidden="1" x14ac:dyDescent="0.25">
      <c r="A28" s="76">
        <v>45803</v>
      </c>
      <c r="B28" s="78">
        <v>2354</v>
      </c>
      <c r="C28" s="78" t="s">
        <v>26</v>
      </c>
      <c r="D28" t="s">
        <v>117</v>
      </c>
      <c r="E28" s="77">
        <v>867300</v>
      </c>
      <c r="F28" s="77">
        <v>867300</v>
      </c>
      <c r="G28" s="79">
        <v>45799</v>
      </c>
      <c r="H28">
        <v>1</v>
      </c>
    </row>
    <row r="29" spans="1:8" hidden="1" x14ac:dyDescent="0.25">
      <c r="A29" s="76">
        <v>45805</v>
      </c>
      <c r="B29" s="78">
        <v>2234</v>
      </c>
      <c r="C29" s="78" t="s">
        <v>26</v>
      </c>
      <c r="D29" t="s">
        <v>70</v>
      </c>
      <c r="E29" s="77">
        <v>323400</v>
      </c>
      <c r="F29" s="77">
        <v>323400</v>
      </c>
      <c r="G29" s="79">
        <v>45779</v>
      </c>
      <c r="H29">
        <v>3</v>
      </c>
    </row>
    <row r="30" spans="1:8" hidden="1" x14ac:dyDescent="0.25">
      <c r="A30" s="76">
        <v>45809</v>
      </c>
      <c r="B30" s="78">
        <v>2311</v>
      </c>
      <c r="C30" s="78" t="s">
        <v>26</v>
      </c>
      <c r="D30" t="s">
        <v>93</v>
      </c>
      <c r="E30" s="77">
        <v>418100</v>
      </c>
      <c r="F30" s="77">
        <v>418100</v>
      </c>
      <c r="G30" s="79">
        <v>45803</v>
      </c>
      <c r="H30">
        <v>2</v>
      </c>
    </row>
    <row r="31" spans="1:8" hidden="1" x14ac:dyDescent="0.25">
      <c r="A31" s="76">
        <v>45813</v>
      </c>
      <c r="B31" s="78">
        <v>2246</v>
      </c>
      <c r="C31" s="78" t="s">
        <v>26</v>
      </c>
      <c r="D31" t="s">
        <v>82</v>
      </c>
      <c r="E31" s="77">
        <v>636400</v>
      </c>
      <c r="F31" s="77">
        <v>636400</v>
      </c>
      <c r="G31" s="79">
        <v>45812</v>
      </c>
      <c r="H31">
        <v>3</v>
      </c>
    </row>
    <row r="32" spans="1:8" hidden="1" x14ac:dyDescent="0.25">
      <c r="A32" s="76">
        <v>45813</v>
      </c>
      <c r="B32" s="78">
        <v>2382</v>
      </c>
      <c r="C32" s="78" t="s">
        <v>26</v>
      </c>
      <c r="D32" t="s">
        <v>119</v>
      </c>
      <c r="E32" s="77">
        <v>581200</v>
      </c>
      <c r="F32" s="77">
        <v>581200</v>
      </c>
      <c r="G32" s="79">
        <v>45811</v>
      </c>
      <c r="H32">
        <v>1</v>
      </c>
    </row>
    <row r="33" spans="1:8" hidden="1" x14ac:dyDescent="0.25">
      <c r="A33" s="76">
        <v>45815</v>
      </c>
      <c r="B33" s="78">
        <v>2154</v>
      </c>
      <c r="C33" s="78" t="s">
        <v>26</v>
      </c>
      <c r="D33" t="s">
        <v>63</v>
      </c>
      <c r="E33" s="77">
        <v>672300</v>
      </c>
      <c r="F33" s="77">
        <v>672300</v>
      </c>
      <c r="G33" s="79">
        <v>45811</v>
      </c>
      <c r="H33">
        <v>4</v>
      </c>
    </row>
    <row r="34" spans="1:8" hidden="1" x14ac:dyDescent="0.25">
      <c r="A34" s="76">
        <v>45815</v>
      </c>
      <c r="B34" s="78">
        <v>2249</v>
      </c>
      <c r="C34" s="78" t="s">
        <v>26</v>
      </c>
      <c r="D34" t="s">
        <v>88</v>
      </c>
      <c r="E34" s="77">
        <v>1060500</v>
      </c>
      <c r="F34" s="77">
        <v>1060500</v>
      </c>
      <c r="G34" s="79">
        <v>45815</v>
      </c>
      <c r="H34">
        <v>3</v>
      </c>
    </row>
    <row r="35" spans="1:8" hidden="1" x14ac:dyDescent="0.25">
      <c r="A35" s="76">
        <v>45816</v>
      </c>
      <c r="B35" s="78">
        <v>2255</v>
      </c>
      <c r="C35" s="78" t="s">
        <v>26</v>
      </c>
      <c r="D35" t="s">
        <v>85</v>
      </c>
      <c r="E35" s="77">
        <v>570600</v>
      </c>
      <c r="F35" s="77">
        <v>570600</v>
      </c>
      <c r="G35" s="79">
        <v>45820</v>
      </c>
      <c r="H35">
        <v>3</v>
      </c>
    </row>
    <row r="36" spans="1:8" hidden="1" x14ac:dyDescent="0.25">
      <c r="A36" s="76">
        <v>45818</v>
      </c>
      <c r="B36" s="78">
        <v>2399</v>
      </c>
      <c r="C36" s="78" t="s">
        <v>26</v>
      </c>
      <c r="D36" t="s">
        <v>121</v>
      </c>
      <c r="E36" s="77">
        <v>564700</v>
      </c>
      <c r="F36" s="77">
        <v>564700</v>
      </c>
      <c r="G36" s="79">
        <v>45803</v>
      </c>
      <c r="H36">
        <v>1</v>
      </c>
    </row>
    <row r="37" spans="1:8" hidden="1" x14ac:dyDescent="0.25">
      <c r="A37" s="76">
        <v>45822</v>
      </c>
      <c r="B37" s="78">
        <v>2405</v>
      </c>
      <c r="C37" s="78" t="s">
        <v>26</v>
      </c>
      <c r="D37" t="s">
        <v>129</v>
      </c>
      <c r="E37" s="77">
        <v>418100</v>
      </c>
      <c r="F37" s="77">
        <v>418100</v>
      </c>
      <c r="G37" s="79">
        <v>45811</v>
      </c>
      <c r="H37">
        <v>1</v>
      </c>
    </row>
    <row r="38" spans="1:8" hidden="1" x14ac:dyDescent="0.25">
      <c r="A38" s="76">
        <v>45825</v>
      </c>
      <c r="B38" s="78">
        <v>2417</v>
      </c>
      <c r="C38" s="78" t="s">
        <v>26</v>
      </c>
      <c r="D38" t="s">
        <v>130</v>
      </c>
      <c r="E38" s="77">
        <v>834700</v>
      </c>
      <c r="F38" s="77">
        <v>834700</v>
      </c>
      <c r="G38" s="79">
        <v>45829</v>
      </c>
      <c r="H38">
        <v>1</v>
      </c>
    </row>
    <row r="39" spans="1:8" hidden="1" x14ac:dyDescent="0.25">
      <c r="A39" s="76">
        <v>45829</v>
      </c>
      <c r="B39" s="78">
        <v>2344</v>
      </c>
      <c r="C39" s="78" t="s">
        <v>26</v>
      </c>
      <c r="D39" t="s">
        <v>109</v>
      </c>
      <c r="E39" s="77">
        <v>317700</v>
      </c>
      <c r="F39" s="77">
        <v>317700</v>
      </c>
      <c r="G39" s="79">
        <v>45829</v>
      </c>
      <c r="H39">
        <v>2</v>
      </c>
    </row>
    <row r="40" spans="1:8" hidden="1" x14ac:dyDescent="0.25">
      <c r="A40" s="76">
        <v>45829</v>
      </c>
      <c r="B40" s="78">
        <v>2425</v>
      </c>
      <c r="C40" s="78" t="s">
        <v>26</v>
      </c>
      <c r="D40" t="s">
        <v>131</v>
      </c>
      <c r="E40" s="77">
        <v>534800</v>
      </c>
      <c r="F40" s="77">
        <v>534800</v>
      </c>
      <c r="G40" s="79">
        <v>45836</v>
      </c>
      <c r="H40">
        <v>1</v>
      </c>
    </row>
    <row r="41" spans="1:8" hidden="1" x14ac:dyDescent="0.25">
      <c r="A41" s="76">
        <v>45830</v>
      </c>
      <c r="B41" s="78">
        <v>2280</v>
      </c>
      <c r="C41" s="78" t="s">
        <v>26</v>
      </c>
      <c r="D41" t="s">
        <v>98</v>
      </c>
      <c r="E41" s="77">
        <v>433600</v>
      </c>
      <c r="F41" s="77">
        <v>433600</v>
      </c>
      <c r="G41" s="79">
        <v>45833</v>
      </c>
      <c r="H41">
        <v>3</v>
      </c>
    </row>
    <row r="42" spans="1:8" hidden="1" x14ac:dyDescent="0.25">
      <c r="A42" s="76">
        <v>45830</v>
      </c>
      <c r="B42" s="78">
        <v>2282</v>
      </c>
      <c r="C42" s="78" t="s">
        <v>26</v>
      </c>
      <c r="D42" t="s">
        <v>97</v>
      </c>
      <c r="E42" s="77">
        <v>480300</v>
      </c>
      <c r="F42" s="77">
        <v>480300</v>
      </c>
      <c r="G42" s="79">
        <v>45832</v>
      </c>
      <c r="H42">
        <v>3</v>
      </c>
    </row>
    <row r="43" spans="1:8" hidden="1" x14ac:dyDescent="0.25">
      <c r="A43" s="76">
        <v>45830</v>
      </c>
      <c r="B43" s="78">
        <v>2346</v>
      </c>
      <c r="C43" s="78" t="s">
        <v>26</v>
      </c>
      <c r="D43" t="s">
        <v>111</v>
      </c>
      <c r="E43" s="77">
        <v>656200</v>
      </c>
      <c r="F43" s="77">
        <v>656200</v>
      </c>
      <c r="G43" s="79">
        <v>45831</v>
      </c>
      <c r="H43">
        <v>2</v>
      </c>
    </row>
    <row r="44" spans="1:8" hidden="1" x14ac:dyDescent="0.25">
      <c r="A44" s="76">
        <v>45831</v>
      </c>
      <c r="B44" s="78">
        <v>2348</v>
      </c>
      <c r="C44" s="78" t="s">
        <v>26</v>
      </c>
      <c r="D44" t="s">
        <v>113</v>
      </c>
      <c r="E44" s="77">
        <v>393500</v>
      </c>
      <c r="F44" s="77">
        <v>393500</v>
      </c>
      <c r="G44" s="79">
        <v>45833</v>
      </c>
      <c r="H44">
        <v>2</v>
      </c>
    </row>
    <row r="45" spans="1:8" hidden="1" x14ac:dyDescent="0.25">
      <c r="A45" s="76">
        <v>45832</v>
      </c>
      <c r="B45" s="78">
        <v>2205</v>
      </c>
      <c r="C45" s="78" t="s">
        <v>26</v>
      </c>
      <c r="D45" t="s">
        <v>66</v>
      </c>
      <c r="E45" s="77">
        <v>679600</v>
      </c>
      <c r="F45" s="77">
        <v>547250</v>
      </c>
      <c r="G45" s="79">
        <v>45721</v>
      </c>
      <c r="H45">
        <v>4</v>
      </c>
    </row>
    <row r="46" spans="1:8" hidden="1" x14ac:dyDescent="0.25">
      <c r="A46" s="76">
        <v>45832</v>
      </c>
      <c r="B46" s="78">
        <v>2286</v>
      </c>
      <c r="C46" s="78" t="s">
        <v>26</v>
      </c>
      <c r="D46" t="s">
        <v>91</v>
      </c>
      <c r="E46" s="77">
        <v>1661600</v>
      </c>
      <c r="F46" s="77">
        <v>1661600</v>
      </c>
      <c r="G46" s="79">
        <v>45825</v>
      </c>
      <c r="H46">
        <v>3</v>
      </c>
    </row>
    <row r="47" spans="1:8" hidden="1" x14ac:dyDescent="0.25">
      <c r="A47" s="76">
        <v>45832</v>
      </c>
      <c r="B47" s="78">
        <v>2349</v>
      </c>
      <c r="C47" s="78" t="s">
        <v>26</v>
      </c>
      <c r="D47" t="s">
        <v>115</v>
      </c>
      <c r="E47" s="77">
        <v>920600</v>
      </c>
      <c r="F47" s="77">
        <v>920600</v>
      </c>
      <c r="G47" s="79">
        <v>45835</v>
      </c>
      <c r="H47">
        <v>2</v>
      </c>
    </row>
    <row r="48" spans="1:8" hidden="1" x14ac:dyDescent="0.25">
      <c r="A48" s="76">
        <v>45832</v>
      </c>
      <c r="B48" s="78">
        <v>2431</v>
      </c>
      <c r="C48" s="78" t="s">
        <v>26</v>
      </c>
      <c r="D48" t="s">
        <v>149</v>
      </c>
      <c r="E48" s="77">
        <v>313900</v>
      </c>
      <c r="F48" s="77">
        <v>313900</v>
      </c>
      <c r="G48" s="79">
        <v>45836</v>
      </c>
      <c r="H48">
        <v>1</v>
      </c>
    </row>
    <row r="49" spans="1:8" hidden="1" x14ac:dyDescent="0.25">
      <c r="A49" s="76">
        <v>45834</v>
      </c>
      <c r="B49" s="78">
        <v>2290</v>
      </c>
      <c r="C49" s="78" t="s">
        <v>26</v>
      </c>
      <c r="D49" t="s">
        <v>95</v>
      </c>
      <c r="E49" s="77">
        <v>629900</v>
      </c>
      <c r="F49" s="77">
        <v>639349</v>
      </c>
      <c r="G49" s="79">
        <v>45849</v>
      </c>
      <c r="H49">
        <v>3</v>
      </c>
    </row>
    <row r="50" spans="1:8" hidden="1" x14ac:dyDescent="0.25">
      <c r="A50" s="76">
        <v>45834</v>
      </c>
      <c r="B50" s="78">
        <v>2354</v>
      </c>
      <c r="C50" s="78" t="s">
        <v>26</v>
      </c>
      <c r="D50" t="s">
        <v>117</v>
      </c>
      <c r="E50" s="77">
        <v>867300</v>
      </c>
      <c r="F50" s="77">
        <v>867300</v>
      </c>
      <c r="G50" s="79">
        <v>45828</v>
      </c>
      <c r="H50">
        <v>2</v>
      </c>
    </row>
    <row r="51" spans="1:8" hidden="1" x14ac:dyDescent="0.25">
      <c r="A51" s="76">
        <v>45836</v>
      </c>
      <c r="B51" s="78">
        <v>2234</v>
      </c>
      <c r="C51" s="78" t="s">
        <v>26</v>
      </c>
      <c r="D51" t="s">
        <v>70</v>
      </c>
      <c r="E51" s="77">
        <v>323400</v>
      </c>
      <c r="F51" s="77">
        <v>323400</v>
      </c>
      <c r="G51" s="79">
        <v>45806</v>
      </c>
      <c r="H51">
        <v>4</v>
      </c>
    </row>
    <row r="52" spans="1:8" hidden="1" x14ac:dyDescent="0.25">
      <c r="A52" s="76">
        <v>45839</v>
      </c>
      <c r="B52" s="78">
        <v>2311</v>
      </c>
      <c r="C52" s="78" t="s">
        <v>26</v>
      </c>
      <c r="D52" t="s">
        <v>93</v>
      </c>
      <c r="E52" s="77">
        <v>418100</v>
      </c>
      <c r="F52" s="77">
        <v>418100</v>
      </c>
      <c r="G52" s="79">
        <v>45836</v>
      </c>
      <c r="H52">
        <v>3</v>
      </c>
    </row>
    <row r="53" spans="1:8" hidden="1" x14ac:dyDescent="0.25">
      <c r="A53" s="76">
        <v>45843</v>
      </c>
      <c r="B53" s="78">
        <v>2246</v>
      </c>
      <c r="C53" s="78" t="s">
        <v>26</v>
      </c>
      <c r="D53" t="s">
        <v>82</v>
      </c>
      <c r="E53" s="77">
        <v>636400</v>
      </c>
      <c r="F53" s="77">
        <v>636400</v>
      </c>
      <c r="G53" s="79">
        <v>45836</v>
      </c>
      <c r="H53">
        <v>4</v>
      </c>
    </row>
    <row r="54" spans="1:8" hidden="1" x14ac:dyDescent="0.25">
      <c r="A54" s="76">
        <v>45843</v>
      </c>
      <c r="B54" s="78">
        <v>2382</v>
      </c>
      <c r="C54" s="78" t="s">
        <v>26</v>
      </c>
      <c r="D54" t="s">
        <v>119</v>
      </c>
      <c r="E54" s="77">
        <v>581200</v>
      </c>
      <c r="F54" s="77">
        <v>581200</v>
      </c>
      <c r="G54" s="79">
        <v>45845</v>
      </c>
      <c r="H54">
        <v>2</v>
      </c>
    </row>
    <row r="55" spans="1:8" hidden="1" x14ac:dyDescent="0.25">
      <c r="A55" s="76">
        <v>45843</v>
      </c>
      <c r="B55" s="78">
        <v>2463</v>
      </c>
      <c r="C55" s="78" t="s">
        <v>26</v>
      </c>
      <c r="D55" t="s">
        <v>151</v>
      </c>
      <c r="E55" s="77">
        <v>782600</v>
      </c>
      <c r="F55" s="77">
        <v>782600</v>
      </c>
      <c r="G55" s="79">
        <v>45842</v>
      </c>
      <c r="H55">
        <v>1</v>
      </c>
    </row>
    <row r="56" spans="1:8" hidden="1" x14ac:dyDescent="0.25">
      <c r="A56" s="76">
        <v>45845</v>
      </c>
      <c r="B56" s="78">
        <v>2154</v>
      </c>
      <c r="C56" s="78" t="s">
        <v>26</v>
      </c>
      <c r="D56" t="s">
        <v>63</v>
      </c>
      <c r="E56" s="77">
        <v>672300</v>
      </c>
      <c r="F56" s="77">
        <v>672300</v>
      </c>
      <c r="G56" s="79">
        <v>45848</v>
      </c>
      <c r="H56">
        <v>5</v>
      </c>
    </row>
    <row r="57" spans="1:8" hidden="1" x14ac:dyDescent="0.25">
      <c r="A57" s="76">
        <v>45845</v>
      </c>
      <c r="B57" s="78">
        <v>2249</v>
      </c>
      <c r="C57" s="78" t="s">
        <v>26</v>
      </c>
      <c r="D57" t="s">
        <v>88</v>
      </c>
      <c r="E57" s="77">
        <v>1060500</v>
      </c>
      <c r="F57" s="77">
        <v>1060500</v>
      </c>
      <c r="G57" s="79">
        <v>45847</v>
      </c>
      <c r="H57">
        <v>4</v>
      </c>
    </row>
    <row r="58" spans="1:8" hidden="1" x14ac:dyDescent="0.25">
      <c r="A58" s="76">
        <v>45846</v>
      </c>
      <c r="B58" s="78">
        <v>2255</v>
      </c>
      <c r="C58" s="78" t="s">
        <v>26</v>
      </c>
      <c r="D58" t="s">
        <v>85</v>
      </c>
      <c r="E58" s="77">
        <v>570600</v>
      </c>
      <c r="F58" s="77">
        <v>570600</v>
      </c>
      <c r="G58" s="79">
        <v>45852</v>
      </c>
      <c r="H58">
        <v>4</v>
      </c>
    </row>
    <row r="59" spans="1:8" hidden="1" x14ac:dyDescent="0.25">
      <c r="A59" s="76">
        <v>45848</v>
      </c>
      <c r="B59" s="78">
        <v>2399</v>
      </c>
      <c r="C59" s="78" t="s">
        <v>26</v>
      </c>
      <c r="D59" t="s">
        <v>121</v>
      </c>
      <c r="E59" s="77">
        <v>564700</v>
      </c>
      <c r="F59" s="77">
        <v>564700</v>
      </c>
      <c r="G59" s="79">
        <v>45848</v>
      </c>
      <c r="H59">
        <v>2</v>
      </c>
    </row>
    <row r="60" spans="1:8" hidden="1" x14ac:dyDescent="0.25">
      <c r="A60" s="76">
        <v>45848</v>
      </c>
      <c r="B60" s="78">
        <v>2473</v>
      </c>
      <c r="C60" s="78" t="s">
        <v>26</v>
      </c>
      <c r="D60" t="s">
        <v>164</v>
      </c>
      <c r="E60" s="77">
        <v>1002083</v>
      </c>
      <c r="F60" s="149">
        <v>1002083</v>
      </c>
      <c r="G60" s="79">
        <v>45908</v>
      </c>
      <c r="H60">
        <v>1</v>
      </c>
    </row>
    <row r="61" spans="1:8" hidden="1" x14ac:dyDescent="0.25">
      <c r="A61" s="76">
        <v>45852</v>
      </c>
      <c r="B61" s="78">
        <v>2405</v>
      </c>
      <c r="C61" s="78" t="s">
        <v>26</v>
      </c>
      <c r="D61" t="s">
        <v>129</v>
      </c>
      <c r="E61" s="77">
        <v>418100</v>
      </c>
      <c r="F61" s="77">
        <v>418100</v>
      </c>
      <c r="G61" s="79">
        <v>45811</v>
      </c>
      <c r="H61">
        <v>2</v>
      </c>
    </row>
    <row r="62" spans="1:8" hidden="1" x14ac:dyDescent="0.25">
      <c r="A62" s="76">
        <v>45855</v>
      </c>
      <c r="B62" s="78">
        <v>2417</v>
      </c>
      <c r="C62" s="78" t="s">
        <v>26</v>
      </c>
      <c r="D62" t="s">
        <v>130</v>
      </c>
      <c r="E62" s="77">
        <v>834700</v>
      </c>
      <c r="F62" s="77">
        <v>834700</v>
      </c>
      <c r="G62" s="79">
        <v>45829</v>
      </c>
      <c r="H62">
        <v>2</v>
      </c>
    </row>
    <row r="63" spans="1:8" hidden="1" x14ac:dyDescent="0.25">
      <c r="A63" s="76">
        <v>45856</v>
      </c>
      <c r="B63" s="78">
        <v>2493</v>
      </c>
      <c r="C63" s="78" t="s">
        <v>26</v>
      </c>
      <c r="D63" t="s">
        <v>166</v>
      </c>
      <c r="E63" s="77">
        <v>328300</v>
      </c>
      <c r="F63" s="77">
        <v>328300</v>
      </c>
      <c r="G63" s="79">
        <v>45856</v>
      </c>
      <c r="H63">
        <v>1</v>
      </c>
    </row>
    <row r="64" spans="1:8" hidden="1" x14ac:dyDescent="0.25">
      <c r="A64" s="76">
        <v>45857</v>
      </c>
      <c r="B64" s="78">
        <v>2494</v>
      </c>
      <c r="C64" s="78" t="s">
        <v>26</v>
      </c>
      <c r="D64" t="s">
        <v>168</v>
      </c>
      <c r="E64" s="77">
        <v>425600</v>
      </c>
      <c r="F64" s="77">
        <v>425600</v>
      </c>
      <c r="G64" s="79">
        <v>45857</v>
      </c>
      <c r="H64">
        <v>1</v>
      </c>
    </row>
    <row r="65" spans="1:8" hidden="1" x14ac:dyDescent="0.25">
      <c r="A65" s="76">
        <v>45858</v>
      </c>
      <c r="B65" s="78">
        <v>2498</v>
      </c>
      <c r="C65" s="78" t="s">
        <v>26</v>
      </c>
      <c r="D65" t="s">
        <v>153</v>
      </c>
      <c r="E65" s="77">
        <v>904200</v>
      </c>
      <c r="F65" s="77">
        <v>904200</v>
      </c>
      <c r="G65" s="79">
        <v>45857</v>
      </c>
      <c r="H65">
        <v>1</v>
      </c>
    </row>
    <row r="66" spans="1:8" hidden="1" x14ac:dyDescent="0.25">
      <c r="A66" s="76">
        <v>45859</v>
      </c>
      <c r="B66" s="78">
        <v>2344</v>
      </c>
      <c r="C66" s="78" t="s">
        <v>26</v>
      </c>
      <c r="D66" t="s">
        <v>109</v>
      </c>
      <c r="E66" s="77">
        <v>317700</v>
      </c>
      <c r="F66" s="77">
        <v>317700</v>
      </c>
      <c r="G66" s="79">
        <v>45860</v>
      </c>
      <c r="H66">
        <v>3</v>
      </c>
    </row>
    <row r="67" spans="1:8" hidden="1" x14ac:dyDescent="0.25">
      <c r="A67" s="76">
        <v>45859</v>
      </c>
      <c r="B67" s="78">
        <v>2425</v>
      </c>
      <c r="C67" s="78" t="s">
        <v>26</v>
      </c>
      <c r="D67" t="s">
        <v>131</v>
      </c>
      <c r="E67" s="77">
        <v>534800</v>
      </c>
      <c r="F67" s="77">
        <v>544426</v>
      </c>
      <c r="G67" s="79">
        <v>45877</v>
      </c>
      <c r="H67">
        <v>2</v>
      </c>
    </row>
    <row r="68" spans="1:8" hidden="1" x14ac:dyDescent="0.25">
      <c r="A68" s="76">
        <v>45859</v>
      </c>
      <c r="B68" s="78">
        <v>2500</v>
      </c>
      <c r="C68" s="78" t="s">
        <v>26</v>
      </c>
      <c r="D68" t="s">
        <v>155</v>
      </c>
      <c r="E68" s="77">
        <v>600000</v>
      </c>
      <c r="F68" s="77">
        <v>600000</v>
      </c>
      <c r="G68" s="79">
        <v>45847</v>
      </c>
      <c r="H68">
        <v>1</v>
      </c>
    </row>
    <row r="69" spans="1:8" hidden="1" x14ac:dyDescent="0.25">
      <c r="A69" s="76">
        <v>45859</v>
      </c>
      <c r="B69" s="78">
        <v>2501</v>
      </c>
      <c r="C69" s="78" t="s">
        <v>26</v>
      </c>
      <c r="D69" t="s">
        <v>157</v>
      </c>
      <c r="E69" s="77">
        <v>325300</v>
      </c>
      <c r="F69" s="77">
        <v>325300</v>
      </c>
      <c r="G69" s="79">
        <v>45848</v>
      </c>
      <c r="H69">
        <v>1</v>
      </c>
    </row>
    <row r="70" spans="1:8" hidden="1" x14ac:dyDescent="0.25">
      <c r="A70" s="76">
        <v>45859</v>
      </c>
      <c r="B70" s="78">
        <v>2505</v>
      </c>
      <c r="C70" s="78" t="s">
        <v>26</v>
      </c>
      <c r="D70" t="s">
        <v>170</v>
      </c>
      <c r="E70" s="77">
        <v>901600</v>
      </c>
      <c r="F70" s="77">
        <v>901600</v>
      </c>
      <c r="G70" s="79">
        <v>45862</v>
      </c>
      <c r="H70">
        <v>1</v>
      </c>
    </row>
    <row r="71" spans="1:8" hidden="1" x14ac:dyDescent="0.25">
      <c r="A71" s="76">
        <v>45860</v>
      </c>
      <c r="B71" s="78">
        <v>2280</v>
      </c>
      <c r="C71" s="78" t="s">
        <v>26</v>
      </c>
      <c r="D71" t="s">
        <v>98</v>
      </c>
      <c r="E71" s="77">
        <v>433600</v>
      </c>
      <c r="F71" s="77">
        <v>433600</v>
      </c>
      <c r="G71" s="79">
        <v>45868</v>
      </c>
      <c r="H71">
        <v>4</v>
      </c>
    </row>
    <row r="72" spans="1:8" hidden="1" x14ac:dyDescent="0.25">
      <c r="A72" s="76">
        <v>45860</v>
      </c>
      <c r="B72" s="78">
        <v>2282</v>
      </c>
      <c r="C72" s="78" t="s">
        <v>26</v>
      </c>
      <c r="D72" t="s">
        <v>97</v>
      </c>
      <c r="E72" s="77">
        <v>480300</v>
      </c>
      <c r="F72" s="77">
        <v>480300</v>
      </c>
      <c r="G72" s="79">
        <v>45864</v>
      </c>
      <c r="H72">
        <v>4</v>
      </c>
    </row>
    <row r="73" spans="1:8" hidden="1" x14ac:dyDescent="0.25">
      <c r="A73" s="76">
        <v>45860</v>
      </c>
      <c r="B73" s="78">
        <v>2346</v>
      </c>
      <c r="C73" s="78" t="s">
        <v>26</v>
      </c>
      <c r="D73" t="s">
        <v>111</v>
      </c>
      <c r="E73" s="77">
        <v>656200</v>
      </c>
      <c r="F73" s="77">
        <v>656200</v>
      </c>
      <c r="G73" s="79">
        <v>45859</v>
      </c>
      <c r="H73">
        <v>3</v>
      </c>
    </row>
    <row r="74" spans="1:8" hidden="1" x14ac:dyDescent="0.25">
      <c r="A74" s="76">
        <v>45861</v>
      </c>
      <c r="B74" s="78">
        <v>2348</v>
      </c>
      <c r="C74" s="78" t="s">
        <v>26</v>
      </c>
      <c r="D74" t="s">
        <v>113</v>
      </c>
      <c r="E74" s="77">
        <v>393500</v>
      </c>
      <c r="F74" s="77">
        <v>393500</v>
      </c>
      <c r="G74" s="79">
        <v>45863</v>
      </c>
      <c r="H74">
        <v>3</v>
      </c>
    </row>
    <row r="75" spans="1:8" hidden="1" x14ac:dyDescent="0.25">
      <c r="A75" s="76">
        <v>45862</v>
      </c>
      <c r="B75" s="78">
        <v>2205</v>
      </c>
      <c r="C75" s="78" t="s">
        <v>26</v>
      </c>
      <c r="D75" t="s">
        <v>66</v>
      </c>
      <c r="E75" s="77">
        <v>679600</v>
      </c>
      <c r="F75" s="77">
        <v>547250</v>
      </c>
      <c r="G75" s="79">
        <v>45721</v>
      </c>
      <c r="H75">
        <v>5</v>
      </c>
    </row>
    <row r="76" spans="1:8" hidden="1" x14ac:dyDescent="0.25">
      <c r="A76" s="76">
        <v>45862</v>
      </c>
      <c r="B76" s="78">
        <v>2286</v>
      </c>
      <c r="C76" s="78" t="s">
        <v>26</v>
      </c>
      <c r="D76" t="s">
        <v>91</v>
      </c>
      <c r="E76" s="77">
        <v>1661600</v>
      </c>
      <c r="F76" s="77">
        <v>1661600</v>
      </c>
      <c r="G76" s="79">
        <v>45861</v>
      </c>
      <c r="H76">
        <v>4</v>
      </c>
    </row>
    <row r="77" spans="1:8" hidden="1" x14ac:dyDescent="0.25">
      <c r="A77" s="76">
        <v>45862</v>
      </c>
      <c r="B77" s="78">
        <v>2349</v>
      </c>
      <c r="C77" s="78" t="s">
        <v>26</v>
      </c>
      <c r="D77" t="s">
        <v>115</v>
      </c>
      <c r="E77" s="77">
        <v>920600</v>
      </c>
      <c r="F77" s="77">
        <v>920600</v>
      </c>
      <c r="G77" s="79">
        <v>45866</v>
      </c>
      <c r="H77">
        <v>3</v>
      </c>
    </row>
    <row r="78" spans="1:8" hidden="1" x14ac:dyDescent="0.25">
      <c r="A78" s="76">
        <v>45862</v>
      </c>
      <c r="B78" s="78">
        <v>2431</v>
      </c>
      <c r="C78" s="78" t="s">
        <v>26</v>
      </c>
      <c r="D78" t="s">
        <v>149</v>
      </c>
      <c r="E78" s="77">
        <v>313900</v>
      </c>
      <c r="F78" s="77">
        <v>317353</v>
      </c>
      <c r="G78" s="79">
        <v>45873</v>
      </c>
      <c r="H78">
        <v>2</v>
      </c>
    </row>
    <row r="79" spans="1:8" hidden="1" x14ac:dyDescent="0.25">
      <c r="A79" s="76">
        <v>45863</v>
      </c>
      <c r="B79" s="78">
        <v>2511</v>
      </c>
      <c r="C79" s="78" t="s">
        <v>26</v>
      </c>
      <c r="D79" t="s">
        <v>171</v>
      </c>
      <c r="E79" s="77">
        <v>712300</v>
      </c>
      <c r="F79" s="77">
        <v>712300</v>
      </c>
      <c r="G79" s="79">
        <v>45867</v>
      </c>
      <c r="H79">
        <v>1</v>
      </c>
    </row>
    <row r="80" spans="1:8" hidden="1" x14ac:dyDescent="0.25">
      <c r="A80" s="76">
        <v>45864</v>
      </c>
      <c r="B80" s="78">
        <v>2290</v>
      </c>
      <c r="C80" s="78" t="s">
        <v>26</v>
      </c>
      <c r="D80" t="s">
        <v>95</v>
      </c>
      <c r="E80" s="77">
        <v>629900</v>
      </c>
      <c r="F80" s="77">
        <v>638089</v>
      </c>
      <c r="G80" s="79">
        <v>45877</v>
      </c>
      <c r="H80">
        <v>4</v>
      </c>
    </row>
    <row r="81" spans="1:8" hidden="1" x14ac:dyDescent="0.25">
      <c r="A81" s="76">
        <v>45864</v>
      </c>
      <c r="B81" s="78">
        <v>2354</v>
      </c>
      <c r="C81" s="78" t="s">
        <v>26</v>
      </c>
      <c r="D81" t="s">
        <v>117</v>
      </c>
      <c r="E81" s="77">
        <v>867300</v>
      </c>
      <c r="F81" s="77">
        <v>867300</v>
      </c>
      <c r="G81" s="79">
        <v>45839</v>
      </c>
      <c r="H81">
        <v>3</v>
      </c>
    </row>
    <row r="82" spans="1:8" hidden="1" x14ac:dyDescent="0.25">
      <c r="A82" s="76">
        <v>45864</v>
      </c>
      <c r="B82" s="78">
        <v>2515</v>
      </c>
      <c r="C82" s="78" t="s">
        <v>26</v>
      </c>
      <c r="D82" t="s">
        <v>174</v>
      </c>
      <c r="E82" s="77">
        <v>804500</v>
      </c>
      <c r="F82" s="77">
        <v>804500</v>
      </c>
      <c r="G82" s="79">
        <v>45864</v>
      </c>
      <c r="H82">
        <v>1</v>
      </c>
    </row>
    <row r="83" spans="1:8" hidden="1" x14ac:dyDescent="0.25">
      <c r="A83" s="76">
        <v>45866</v>
      </c>
      <c r="B83" s="78">
        <v>2234</v>
      </c>
      <c r="C83" s="78" t="s">
        <v>26</v>
      </c>
      <c r="D83" t="s">
        <v>70</v>
      </c>
      <c r="E83" s="77">
        <v>323400</v>
      </c>
      <c r="F83" s="77">
        <v>323400</v>
      </c>
      <c r="G83" s="79">
        <v>45835</v>
      </c>
      <c r="H83">
        <v>5</v>
      </c>
    </row>
    <row r="84" spans="1:8" hidden="1" x14ac:dyDescent="0.25">
      <c r="A84" s="76">
        <v>45866</v>
      </c>
      <c r="B84" s="78">
        <v>2517</v>
      </c>
      <c r="C84" s="78" t="s">
        <v>26</v>
      </c>
      <c r="D84" t="s">
        <v>176</v>
      </c>
      <c r="E84" s="77">
        <v>728700</v>
      </c>
      <c r="F84" s="77">
        <v>728700</v>
      </c>
      <c r="G84" s="79">
        <v>45866</v>
      </c>
      <c r="H84">
        <v>1</v>
      </c>
    </row>
    <row r="85" spans="1:8" hidden="1" x14ac:dyDescent="0.25">
      <c r="A85" s="76">
        <v>45870</v>
      </c>
      <c r="B85" s="78">
        <v>2311</v>
      </c>
      <c r="C85" s="78" t="s">
        <v>26</v>
      </c>
      <c r="D85" t="s">
        <v>93</v>
      </c>
      <c r="E85" s="77">
        <v>418100</v>
      </c>
      <c r="F85" s="77">
        <v>418100</v>
      </c>
      <c r="G85" s="79">
        <v>45864</v>
      </c>
      <c r="H85">
        <v>4</v>
      </c>
    </row>
    <row r="86" spans="1:8" hidden="1" x14ac:dyDescent="0.25">
      <c r="A86" s="76">
        <v>45872</v>
      </c>
      <c r="B86" s="78">
        <v>2520</v>
      </c>
      <c r="C86" s="78" t="s">
        <v>26</v>
      </c>
      <c r="D86" t="s">
        <v>196</v>
      </c>
      <c r="E86" s="77">
        <v>481700</v>
      </c>
      <c r="F86" s="77">
        <v>481700</v>
      </c>
      <c r="G86" s="79">
        <v>45868</v>
      </c>
      <c r="H86">
        <v>1</v>
      </c>
    </row>
    <row r="87" spans="1:8" hidden="1" x14ac:dyDescent="0.25">
      <c r="A87" s="76">
        <v>45874</v>
      </c>
      <c r="B87" s="78">
        <v>2246</v>
      </c>
      <c r="C87" s="78" t="s">
        <v>26</v>
      </c>
      <c r="D87" t="s">
        <v>82</v>
      </c>
      <c r="E87" s="77">
        <v>636400</v>
      </c>
      <c r="F87" s="77">
        <v>636400</v>
      </c>
      <c r="G87" s="79">
        <v>45869</v>
      </c>
      <c r="H87">
        <v>5</v>
      </c>
    </row>
    <row r="88" spans="1:8" hidden="1" x14ac:dyDescent="0.25">
      <c r="A88" s="76">
        <v>45874</v>
      </c>
      <c r="B88" s="78">
        <v>2382</v>
      </c>
      <c r="C88" s="78" t="s">
        <v>26</v>
      </c>
      <c r="D88" t="s">
        <v>119</v>
      </c>
      <c r="E88" s="77">
        <v>581200</v>
      </c>
      <c r="F88" s="77">
        <v>593405</v>
      </c>
      <c r="G88" s="79">
        <v>45895</v>
      </c>
      <c r="H88">
        <v>3</v>
      </c>
    </row>
    <row r="89" spans="1:8" hidden="1" x14ac:dyDescent="0.25">
      <c r="A89" s="76">
        <v>45874</v>
      </c>
      <c r="B89" s="78">
        <v>2463</v>
      </c>
      <c r="C89" s="78" t="s">
        <v>26</v>
      </c>
      <c r="D89" t="s">
        <v>151</v>
      </c>
      <c r="E89" s="77">
        <v>782600</v>
      </c>
      <c r="F89" s="77">
        <v>782600</v>
      </c>
      <c r="G89" s="79">
        <v>45873</v>
      </c>
      <c r="H89">
        <v>2</v>
      </c>
    </row>
    <row r="90" spans="1:8" hidden="1" x14ac:dyDescent="0.25">
      <c r="A90" s="76">
        <v>45876</v>
      </c>
      <c r="B90" s="78">
        <v>2154</v>
      </c>
      <c r="C90" s="78" t="s">
        <v>26</v>
      </c>
      <c r="D90" t="s">
        <v>63</v>
      </c>
      <c r="E90" s="77">
        <v>672300</v>
      </c>
      <c r="F90" s="77">
        <v>672300</v>
      </c>
      <c r="G90" s="79">
        <v>45873</v>
      </c>
      <c r="H90">
        <v>6</v>
      </c>
    </row>
    <row r="91" spans="1:8" hidden="1" x14ac:dyDescent="0.25">
      <c r="A91" s="76">
        <v>45876</v>
      </c>
      <c r="B91" s="78">
        <v>2249</v>
      </c>
      <c r="C91" s="78" t="s">
        <v>26</v>
      </c>
      <c r="D91" t="s">
        <v>88</v>
      </c>
      <c r="E91" s="77">
        <v>1060500</v>
      </c>
      <c r="F91" s="77">
        <v>1060500</v>
      </c>
      <c r="G91" s="79">
        <v>45877</v>
      </c>
      <c r="H91">
        <v>5</v>
      </c>
    </row>
    <row r="92" spans="1:8" hidden="1" x14ac:dyDescent="0.25">
      <c r="A92" s="76">
        <v>45877</v>
      </c>
      <c r="B92" s="78">
        <v>2255</v>
      </c>
      <c r="C92" s="78" t="s">
        <v>26</v>
      </c>
      <c r="D92" t="s">
        <v>85</v>
      </c>
      <c r="E92" s="77">
        <v>570600</v>
      </c>
      <c r="F92" s="77">
        <v>576877</v>
      </c>
      <c r="G92" s="79">
        <v>45888</v>
      </c>
      <c r="H92">
        <v>5</v>
      </c>
    </row>
    <row r="93" spans="1:8" hidden="1" x14ac:dyDescent="0.25">
      <c r="A93" s="76">
        <v>45878</v>
      </c>
      <c r="B93" s="78">
        <v>883</v>
      </c>
      <c r="C93" s="78" t="s">
        <v>240</v>
      </c>
      <c r="D93" t="s">
        <v>243</v>
      </c>
      <c r="E93" s="77">
        <v>287300</v>
      </c>
      <c r="F93" s="77">
        <v>287300</v>
      </c>
      <c r="G93" s="79">
        <v>45869</v>
      </c>
      <c r="H93">
        <v>1</v>
      </c>
    </row>
    <row r="94" spans="1:8" hidden="1" x14ac:dyDescent="0.25">
      <c r="A94" s="76">
        <v>45879</v>
      </c>
      <c r="B94" s="78">
        <v>2399</v>
      </c>
      <c r="C94" s="78" t="s">
        <v>26</v>
      </c>
      <c r="D94" t="s">
        <v>121</v>
      </c>
      <c r="E94" s="77">
        <v>564700</v>
      </c>
      <c r="F94" s="77">
        <v>564700</v>
      </c>
      <c r="G94" s="79">
        <v>45880</v>
      </c>
      <c r="H94">
        <v>3</v>
      </c>
    </row>
    <row r="95" spans="1:8" hidden="1" x14ac:dyDescent="0.25">
      <c r="A95" s="76">
        <v>45879</v>
      </c>
      <c r="B95" s="78">
        <v>2473</v>
      </c>
      <c r="C95" s="78" t="s">
        <v>26</v>
      </c>
      <c r="D95" t="s">
        <v>164</v>
      </c>
      <c r="E95" s="77">
        <v>1002083</v>
      </c>
      <c r="F95" s="77">
        <v>1002083</v>
      </c>
      <c r="G95" s="79">
        <v>45908</v>
      </c>
      <c r="H95">
        <v>2</v>
      </c>
    </row>
    <row r="96" spans="1:8" hidden="1" x14ac:dyDescent="0.25">
      <c r="A96" s="76">
        <v>45883</v>
      </c>
      <c r="B96" s="78">
        <v>2405</v>
      </c>
      <c r="C96" s="78" t="s">
        <v>26</v>
      </c>
      <c r="D96" t="s">
        <v>129</v>
      </c>
      <c r="E96" s="77">
        <v>418100</v>
      </c>
      <c r="F96" s="77">
        <v>418100</v>
      </c>
      <c r="G96" s="79">
        <v>45840</v>
      </c>
      <c r="H96">
        <v>3</v>
      </c>
    </row>
    <row r="97" spans="1:8" hidden="1" x14ac:dyDescent="0.25">
      <c r="A97" s="76">
        <v>45886</v>
      </c>
      <c r="B97" s="78">
        <v>2417</v>
      </c>
      <c r="C97" s="78" t="s">
        <v>26</v>
      </c>
      <c r="D97" t="s">
        <v>130</v>
      </c>
      <c r="E97" s="77">
        <v>834700</v>
      </c>
      <c r="F97" s="77">
        <v>834700</v>
      </c>
      <c r="G97" s="79">
        <v>45878</v>
      </c>
      <c r="H97">
        <v>3</v>
      </c>
    </row>
    <row r="98" spans="1:8" hidden="1" x14ac:dyDescent="0.25">
      <c r="A98" s="76">
        <v>45886</v>
      </c>
      <c r="B98" s="78">
        <v>2566</v>
      </c>
      <c r="C98" s="78" t="s">
        <v>26</v>
      </c>
      <c r="D98" t="s">
        <v>200</v>
      </c>
      <c r="E98" s="77">
        <v>790200</v>
      </c>
      <c r="F98" s="77">
        <v>790200</v>
      </c>
      <c r="G98" s="79">
        <v>45886</v>
      </c>
      <c r="H98">
        <v>1</v>
      </c>
    </row>
    <row r="99" spans="1:8" hidden="1" x14ac:dyDescent="0.25">
      <c r="A99" s="76">
        <v>45887</v>
      </c>
      <c r="B99" s="78">
        <v>2493</v>
      </c>
      <c r="C99" s="78" t="s">
        <v>26</v>
      </c>
      <c r="D99" t="s">
        <v>166</v>
      </c>
      <c r="E99" s="77">
        <v>328300</v>
      </c>
      <c r="F99" s="77">
        <v>332896</v>
      </c>
      <c r="G99" s="79">
        <v>45901</v>
      </c>
      <c r="H99">
        <v>2</v>
      </c>
    </row>
    <row r="100" spans="1:8" hidden="1" x14ac:dyDescent="0.25">
      <c r="A100" s="76">
        <v>45888</v>
      </c>
      <c r="B100" s="78">
        <v>2494</v>
      </c>
      <c r="C100" s="78" t="s">
        <v>26</v>
      </c>
      <c r="D100" t="s">
        <v>168</v>
      </c>
      <c r="E100" s="77">
        <v>425600</v>
      </c>
      <c r="F100" s="77">
        <v>425600</v>
      </c>
      <c r="G100" s="79">
        <v>45889</v>
      </c>
      <c r="H100">
        <v>2</v>
      </c>
    </row>
    <row r="101" spans="1:8" hidden="1" x14ac:dyDescent="0.25">
      <c r="A101" s="76">
        <v>45889</v>
      </c>
      <c r="B101" s="78">
        <v>2498</v>
      </c>
      <c r="C101" s="78" t="s">
        <v>26</v>
      </c>
      <c r="D101" t="s">
        <v>153</v>
      </c>
      <c r="E101" s="77">
        <v>904200</v>
      </c>
      <c r="F101" s="77">
        <v>904200</v>
      </c>
      <c r="G101" s="79">
        <v>45894</v>
      </c>
      <c r="H101">
        <v>2</v>
      </c>
    </row>
    <row r="102" spans="1:8" hidden="1" x14ac:dyDescent="0.25">
      <c r="A102" s="76">
        <v>45890</v>
      </c>
      <c r="B102" s="78">
        <v>2344</v>
      </c>
      <c r="C102" s="78" t="s">
        <v>26</v>
      </c>
      <c r="D102" t="s">
        <v>109</v>
      </c>
      <c r="E102" s="77">
        <v>317700</v>
      </c>
      <c r="F102" s="77">
        <v>317700</v>
      </c>
      <c r="G102" s="79">
        <v>45892</v>
      </c>
      <c r="H102">
        <v>4</v>
      </c>
    </row>
    <row r="103" spans="1:8" hidden="1" x14ac:dyDescent="0.25">
      <c r="A103" s="76">
        <v>45890</v>
      </c>
      <c r="B103" s="78">
        <v>2425</v>
      </c>
      <c r="C103" s="78" t="s">
        <v>26</v>
      </c>
      <c r="D103" t="s">
        <v>131</v>
      </c>
      <c r="E103" s="77">
        <v>534800</v>
      </c>
      <c r="F103" s="77">
        <v>539613</v>
      </c>
      <c r="G103" s="79">
        <v>45899</v>
      </c>
      <c r="H103">
        <v>3</v>
      </c>
    </row>
    <row r="104" spans="1:8" hidden="1" x14ac:dyDescent="0.25">
      <c r="A104" s="76">
        <v>45890</v>
      </c>
      <c r="B104" s="78">
        <v>2500</v>
      </c>
      <c r="C104" s="78" t="s">
        <v>26</v>
      </c>
      <c r="D104" t="s">
        <v>155</v>
      </c>
      <c r="E104" s="77">
        <v>600000</v>
      </c>
      <c r="F104" s="77">
        <v>600000</v>
      </c>
      <c r="G104" s="79">
        <v>45882</v>
      </c>
      <c r="H104">
        <v>2</v>
      </c>
    </row>
    <row r="105" spans="1:8" hidden="1" x14ac:dyDescent="0.25">
      <c r="A105" s="76">
        <v>45890</v>
      </c>
      <c r="B105" s="78">
        <v>2501</v>
      </c>
      <c r="C105" s="78" t="s">
        <v>26</v>
      </c>
      <c r="D105" t="s">
        <v>157</v>
      </c>
      <c r="E105" s="77">
        <v>325300</v>
      </c>
      <c r="F105" s="77">
        <v>325300</v>
      </c>
      <c r="G105" s="79">
        <v>45870</v>
      </c>
      <c r="H105">
        <v>2</v>
      </c>
    </row>
    <row r="106" spans="1:8" hidden="1" x14ac:dyDescent="0.25">
      <c r="A106" s="76">
        <v>45890</v>
      </c>
      <c r="B106" s="78">
        <v>2505</v>
      </c>
      <c r="C106" s="78" t="s">
        <v>26</v>
      </c>
      <c r="D106" t="s">
        <v>170</v>
      </c>
      <c r="E106" s="77">
        <v>901600</v>
      </c>
      <c r="F106" s="77">
        <v>901600</v>
      </c>
      <c r="G106" s="79">
        <v>45898</v>
      </c>
      <c r="H106">
        <v>2</v>
      </c>
    </row>
    <row r="107" spans="1:8" hidden="1" x14ac:dyDescent="0.25">
      <c r="A107" s="76">
        <v>45891</v>
      </c>
      <c r="B107" s="78">
        <v>2280</v>
      </c>
      <c r="C107" s="78" t="s">
        <v>26</v>
      </c>
      <c r="D107" t="s">
        <v>98</v>
      </c>
      <c r="E107" s="77">
        <v>433600</v>
      </c>
      <c r="F107" s="77">
        <v>433600</v>
      </c>
      <c r="G107" s="79">
        <v>45895</v>
      </c>
      <c r="H107">
        <v>5</v>
      </c>
    </row>
    <row r="108" spans="1:8" hidden="1" x14ac:dyDescent="0.25">
      <c r="A108" s="76">
        <v>45891</v>
      </c>
      <c r="B108" s="78">
        <v>2282</v>
      </c>
      <c r="C108" s="78" t="s">
        <v>26</v>
      </c>
      <c r="D108" t="s">
        <v>97</v>
      </c>
      <c r="E108" s="77">
        <v>480300</v>
      </c>
      <c r="F108" s="77">
        <v>497591</v>
      </c>
      <c r="G108" s="79">
        <v>45927</v>
      </c>
      <c r="H108">
        <v>5</v>
      </c>
    </row>
    <row r="109" spans="1:8" hidden="1" x14ac:dyDescent="0.25">
      <c r="A109" s="76">
        <v>45891</v>
      </c>
      <c r="B109" s="78">
        <v>2346</v>
      </c>
      <c r="C109" s="78" t="s">
        <v>26</v>
      </c>
      <c r="D109" t="s">
        <v>111</v>
      </c>
      <c r="E109" s="77">
        <v>656200</v>
      </c>
      <c r="F109" s="77">
        <v>656200</v>
      </c>
      <c r="G109" s="79">
        <v>45892</v>
      </c>
      <c r="H109">
        <v>4</v>
      </c>
    </row>
    <row r="110" spans="1:8" hidden="1" x14ac:dyDescent="0.25">
      <c r="A110" s="76">
        <v>45892</v>
      </c>
      <c r="B110" s="78">
        <v>2348</v>
      </c>
      <c r="C110" s="78" t="s">
        <v>26</v>
      </c>
      <c r="D110" t="s">
        <v>113</v>
      </c>
      <c r="E110" s="77">
        <v>393500</v>
      </c>
      <c r="F110" s="77">
        <v>393500</v>
      </c>
      <c r="G110" s="79">
        <v>45890</v>
      </c>
      <c r="H110">
        <v>4</v>
      </c>
    </row>
    <row r="111" spans="1:8" hidden="1" x14ac:dyDescent="0.25">
      <c r="A111" s="76">
        <v>45893</v>
      </c>
      <c r="B111" s="78">
        <v>2205</v>
      </c>
      <c r="C111" s="78" t="s">
        <v>26</v>
      </c>
      <c r="D111" t="s">
        <v>66</v>
      </c>
      <c r="E111" s="77">
        <v>679600</v>
      </c>
      <c r="F111" s="77">
        <v>547250</v>
      </c>
      <c r="G111" s="79">
        <v>45721</v>
      </c>
      <c r="H111">
        <v>6</v>
      </c>
    </row>
    <row r="112" spans="1:8" hidden="1" x14ac:dyDescent="0.25">
      <c r="A112" s="76">
        <v>45893</v>
      </c>
      <c r="B112" s="78">
        <v>2286</v>
      </c>
      <c r="C112" s="78" t="s">
        <v>26</v>
      </c>
      <c r="D112" t="s">
        <v>91</v>
      </c>
      <c r="E112" s="77">
        <v>1661600</v>
      </c>
      <c r="F112" s="77">
        <v>1661600</v>
      </c>
      <c r="G112" s="79">
        <v>45890</v>
      </c>
      <c r="H112">
        <v>5</v>
      </c>
    </row>
    <row r="113" spans="1:8" hidden="1" x14ac:dyDescent="0.25">
      <c r="A113" s="76">
        <v>45893</v>
      </c>
      <c r="B113" s="78">
        <v>2349</v>
      </c>
      <c r="C113" s="78" t="s">
        <v>26</v>
      </c>
      <c r="D113" t="s">
        <v>115</v>
      </c>
      <c r="E113" s="77">
        <v>920600</v>
      </c>
      <c r="F113" s="77">
        <v>920600</v>
      </c>
      <c r="G113" s="79">
        <v>45895</v>
      </c>
      <c r="H113">
        <v>4</v>
      </c>
    </row>
    <row r="114" spans="1:8" hidden="1" x14ac:dyDescent="0.25">
      <c r="A114" s="76">
        <v>45893</v>
      </c>
      <c r="B114" s="78">
        <v>2431</v>
      </c>
      <c r="C114" s="78" t="s">
        <v>26</v>
      </c>
      <c r="D114" t="s">
        <v>149</v>
      </c>
      <c r="E114" s="77">
        <v>313900</v>
      </c>
      <c r="F114" s="77">
        <v>313900</v>
      </c>
      <c r="G114" s="79">
        <v>45892</v>
      </c>
      <c r="H114">
        <v>3</v>
      </c>
    </row>
    <row r="115" spans="1:8" hidden="1" x14ac:dyDescent="0.25">
      <c r="A115" s="76">
        <v>45894</v>
      </c>
      <c r="B115" s="78">
        <v>2511</v>
      </c>
      <c r="C115" s="78" t="s">
        <v>26</v>
      </c>
      <c r="D115" t="s">
        <v>171</v>
      </c>
      <c r="E115" s="77">
        <v>712300</v>
      </c>
      <c r="F115" s="77">
        <v>712300</v>
      </c>
      <c r="G115" s="79">
        <v>45898</v>
      </c>
      <c r="H115">
        <v>2</v>
      </c>
    </row>
    <row r="116" spans="1:8" hidden="1" x14ac:dyDescent="0.25">
      <c r="A116" s="76">
        <v>45895</v>
      </c>
      <c r="B116" s="78">
        <v>2290</v>
      </c>
      <c r="C116" s="78" t="s">
        <v>26</v>
      </c>
      <c r="D116" t="s">
        <v>95</v>
      </c>
      <c r="E116" s="77">
        <v>629900</v>
      </c>
      <c r="F116" s="77">
        <v>639349</v>
      </c>
      <c r="G116" s="79">
        <v>45910</v>
      </c>
      <c r="H116">
        <v>5</v>
      </c>
    </row>
    <row r="117" spans="1:8" hidden="1" x14ac:dyDescent="0.25">
      <c r="A117" s="76">
        <v>45895</v>
      </c>
      <c r="B117" s="78">
        <v>2354</v>
      </c>
      <c r="C117" s="78" t="s">
        <v>26</v>
      </c>
      <c r="D117" t="s">
        <v>117</v>
      </c>
      <c r="E117" s="77">
        <v>867300</v>
      </c>
      <c r="F117" s="77">
        <v>867300</v>
      </c>
      <c r="G117" s="79">
        <v>45839</v>
      </c>
      <c r="H117">
        <v>4</v>
      </c>
    </row>
    <row r="118" spans="1:8" hidden="1" x14ac:dyDescent="0.25">
      <c r="A118" s="76">
        <v>45895</v>
      </c>
      <c r="B118" s="78">
        <v>2515</v>
      </c>
      <c r="C118" s="78" t="s">
        <v>26</v>
      </c>
      <c r="D118" t="s">
        <v>174</v>
      </c>
      <c r="E118" s="77">
        <v>804500</v>
      </c>
      <c r="F118" s="77">
        <v>804500</v>
      </c>
      <c r="G118" s="79">
        <v>45899</v>
      </c>
      <c r="H118">
        <v>2</v>
      </c>
    </row>
    <row r="119" spans="1:8" hidden="1" x14ac:dyDescent="0.25">
      <c r="A119" s="76">
        <v>45897</v>
      </c>
      <c r="B119" s="78">
        <v>2234</v>
      </c>
      <c r="C119" s="78" t="s">
        <v>26</v>
      </c>
      <c r="D119" t="s">
        <v>70</v>
      </c>
      <c r="E119" s="77">
        <v>323400</v>
      </c>
      <c r="F119" s="77">
        <v>323400</v>
      </c>
      <c r="G119" s="79">
        <v>45866</v>
      </c>
      <c r="H119">
        <v>6</v>
      </c>
    </row>
    <row r="120" spans="1:8" hidden="1" x14ac:dyDescent="0.25">
      <c r="A120" s="76">
        <v>45897</v>
      </c>
      <c r="B120" s="78">
        <v>2517</v>
      </c>
      <c r="C120" s="78" t="s">
        <v>26</v>
      </c>
      <c r="D120" t="s">
        <v>176</v>
      </c>
      <c r="E120" s="77">
        <v>728700</v>
      </c>
      <c r="F120" s="77">
        <v>728700</v>
      </c>
      <c r="G120" s="79">
        <v>45898</v>
      </c>
      <c r="H120">
        <v>2</v>
      </c>
    </row>
    <row r="121" spans="1:8" hidden="1" x14ac:dyDescent="0.25">
      <c r="A121" s="76">
        <v>45898</v>
      </c>
      <c r="B121" s="78">
        <v>2588</v>
      </c>
      <c r="C121" s="78" t="s">
        <v>26</v>
      </c>
      <c r="D121" t="s">
        <v>201</v>
      </c>
      <c r="E121" s="77">
        <v>792000</v>
      </c>
      <c r="F121" s="77">
        <v>792000</v>
      </c>
      <c r="G121" s="79">
        <v>45896</v>
      </c>
      <c r="H121">
        <v>1</v>
      </c>
    </row>
    <row r="122" spans="1:8" hidden="1" x14ac:dyDescent="0.25">
      <c r="A122" s="76">
        <v>45898</v>
      </c>
      <c r="B122" s="78">
        <v>912</v>
      </c>
      <c r="C122" s="78" t="s">
        <v>240</v>
      </c>
      <c r="D122" t="s">
        <v>241</v>
      </c>
      <c r="E122" s="77">
        <v>605800</v>
      </c>
      <c r="F122" s="77">
        <v>605800</v>
      </c>
      <c r="G122" s="79">
        <v>45899</v>
      </c>
      <c r="H122">
        <v>1</v>
      </c>
    </row>
    <row r="123" spans="1:8" hidden="1" x14ac:dyDescent="0.25">
      <c r="A123" s="76">
        <v>45900</v>
      </c>
      <c r="B123" s="78">
        <v>2597</v>
      </c>
      <c r="C123" s="78" t="s">
        <v>26</v>
      </c>
      <c r="D123" t="s">
        <v>204</v>
      </c>
      <c r="E123" s="77">
        <v>578500</v>
      </c>
      <c r="F123" s="77">
        <v>578500</v>
      </c>
      <c r="G123" s="79">
        <v>45898</v>
      </c>
      <c r="H123">
        <v>1</v>
      </c>
    </row>
    <row r="124" spans="1:8" hidden="1" x14ac:dyDescent="0.25">
      <c r="A124" s="76">
        <v>45900</v>
      </c>
      <c r="B124" s="78">
        <v>2598</v>
      </c>
      <c r="C124" s="78" t="s">
        <v>26</v>
      </c>
      <c r="D124" t="s">
        <v>205</v>
      </c>
      <c r="E124" s="77">
        <v>1681500</v>
      </c>
      <c r="F124" s="77">
        <v>1681500</v>
      </c>
      <c r="G124" s="79">
        <v>45901</v>
      </c>
      <c r="H124">
        <v>1</v>
      </c>
    </row>
    <row r="125" spans="1:8" hidden="1" x14ac:dyDescent="0.25">
      <c r="A125" s="76">
        <v>45901</v>
      </c>
      <c r="B125" s="78">
        <v>2311</v>
      </c>
      <c r="C125" s="78" t="s">
        <v>26</v>
      </c>
      <c r="D125" t="s">
        <v>93</v>
      </c>
      <c r="E125" s="77">
        <v>418100</v>
      </c>
      <c r="F125" s="77">
        <v>418100</v>
      </c>
      <c r="G125" s="79">
        <v>45897</v>
      </c>
      <c r="H125">
        <v>5</v>
      </c>
    </row>
    <row r="126" spans="1:8" hidden="1" x14ac:dyDescent="0.25">
      <c r="A126" s="76">
        <v>45902</v>
      </c>
      <c r="B126" s="78">
        <v>2606</v>
      </c>
      <c r="C126" s="78" t="s">
        <v>26</v>
      </c>
      <c r="D126" t="s">
        <v>225</v>
      </c>
      <c r="E126" s="77">
        <v>1011300</v>
      </c>
      <c r="F126" s="77">
        <v>1011300</v>
      </c>
      <c r="G126" s="79">
        <v>45901</v>
      </c>
      <c r="H126">
        <v>1</v>
      </c>
    </row>
    <row r="127" spans="1:8" hidden="1" x14ac:dyDescent="0.25">
      <c r="A127" s="76">
        <v>45903</v>
      </c>
      <c r="B127" s="78">
        <v>2520</v>
      </c>
      <c r="C127" s="78" t="s">
        <v>26</v>
      </c>
      <c r="D127" t="s">
        <v>196</v>
      </c>
      <c r="E127" s="77">
        <v>481700</v>
      </c>
      <c r="F127" s="77">
        <v>481700</v>
      </c>
      <c r="G127" s="79">
        <v>45899</v>
      </c>
      <c r="H127">
        <v>2</v>
      </c>
    </row>
    <row r="128" spans="1:8" hidden="1" x14ac:dyDescent="0.25">
      <c r="A128" s="76">
        <v>45905</v>
      </c>
      <c r="B128" s="78">
        <v>2246</v>
      </c>
      <c r="C128" s="78" t="s">
        <v>26</v>
      </c>
      <c r="D128" t="s">
        <v>82</v>
      </c>
      <c r="E128" s="77">
        <v>636400</v>
      </c>
      <c r="F128" s="77">
        <v>636400</v>
      </c>
      <c r="G128" s="79">
        <v>45905</v>
      </c>
      <c r="H128">
        <v>6</v>
      </c>
    </row>
    <row r="129" spans="1:8" hidden="1" x14ac:dyDescent="0.25">
      <c r="A129" s="76">
        <v>45905</v>
      </c>
      <c r="B129" s="78">
        <v>2382</v>
      </c>
      <c r="C129" s="78" t="s">
        <v>26</v>
      </c>
      <c r="D129" t="s">
        <v>119</v>
      </c>
      <c r="E129" s="77">
        <v>581200</v>
      </c>
      <c r="F129" s="77">
        <v>581200</v>
      </c>
      <c r="G129" s="79">
        <v>45895</v>
      </c>
      <c r="H129">
        <v>4</v>
      </c>
    </row>
    <row r="130" spans="1:8" hidden="1" x14ac:dyDescent="0.25">
      <c r="A130" s="76">
        <v>45905</v>
      </c>
      <c r="B130" s="78">
        <v>2463</v>
      </c>
      <c r="C130" s="78" t="s">
        <v>26</v>
      </c>
      <c r="D130" t="s">
        <v>151</v>
      </c>
      <c r="E130" s="77">
        <v>782600</v>
      </c>
      <c r="F130" s="77">
        <v>782600</v>
      </c>
      <c r="G130" s="79">
        <v>45904</v>
      </c>
      <c r="H130">
        <v>3</v>
      </c>
    </row>
    <row r="131" spans="1:8" hidden="1" x14ac:dyDescent="0.25">
      <c r="A131" s="76">
        <v>45907</v>
      </c>
      <c r="B131" s="78">
        <v>2154</v>
      </c>
      <c r="C131" s="78" t="s">
        <v>26</v>
      </c>
      <c r="D131" t="s">
        <v>63</v>
      </c>
      <c r="E131" s="77">
        <v>672300</v>
      </c>
      <c r="F131" s="77">
        <v>672300</v>
      </c>
      <c r="G131" s="79">
        <v>45903</v>
      </c>
      <c r="H131">
        <v>7</v>
      </c>
    </row>
    <row r="132" spans="1:8" hidden="1" x14ac:dyDescent="0.25">
      <c r="A132" s="76">
        <v>45907</v>
      </c>
      <c r="B132" s="78">
        <v>2249</v>
      </c>
      <c r="C132" s="78" t="s">
        <v>26</v>
      </c>
      <c r="D132" t="s">
        <v>88</v>
      </c>
      <c r="E132" s="77">
        <v>1060500</v>
      </c>
      <c r="F132" s="77">
        <v>1060500</v>
      </c>
      <c r="G132" s="79">
        <v>45908</v>
      </c>
      <c r="H132">
        <v>6</v>
      </c>
    </row>
    <row r="133" spans="1:8" hidden="1" x14ac:dyDescent="0.25">
      <c r="A133" s="76">
        <v>45908</v>
      </c>
      <c r="B133" s="78">
        <v>2255</v>
      </c>
      <c r="C133" s="78" t="s">
        <v>26</v>
      </c>
      <c r="D133" t="s">
        <v>85</v>
      </c>
      <c r="E133" s="77">
        <v>570600</v>
      </c>
      <c r="F133" s="77">
        <v>570600</v>
      </c>
      <c r="G133" s="79">
        <v>45915</v>
      </c>
      <c r="H133">
        <v>6</v>
      </c>
    </row>
    <row r="134" spans="1:8" hidden="1" x14ac:dyDescent="0.25">
      <c r="A134" s="76">
        <v>45909</v>
      </c>
      <c r="B134" s="78">
        <v>2620</v>
      </c>
      <c r="C134" s="78" t="s">
        <v>26</v>
      </c>
      <c r="D134" t="s">
        <v>232</v>
      </c>
      <c r="E134" s="77">
        <v>780600</v>
      </c>
      <c r="F134" s="77">
        <v>780600</v>
      </c>
      <c r="G134" s="79">
        <v>45915</v>
      </c>
      <c r="H134">
        <v>1</v>
      </c>
    </row>
    <row r="135" spans="1:8" hidden="1" x14ac:dyDescent="0.25">
      <c r="A135" s="76">
        <v>45909</v>
      </c>
      <c r="B135" s="78">
        <v>883</v>
      </c>
      <c r="C135" s="78" t="s">
        <v>240</v>
      </c>
      <c r="D135" t="s">
        <v>243</v>
      </c>
      <c r="E135" s="77">
        <v>287300</v>
      </c>
      <c r="F135" s="77">
        <v>287300</v>
      </c>
      <c r="G135" s="79">
        <v>45899</v>
      </c>
      <c r="H135">
        <v>2</v>
      </c>
    </row>
    <row r="136" spans="1:8" hidden="1" x14ac:dyDescent="0.25">
      <c r="A136" s="76">
        <v>45910</v>
      </c>
      <c r="B136" s="78">
        <v>2399</v>
      </c>
      <c r="C136" s="78" t="s">
        <v>26</v>
      </c>
      <c r="D136" t="s">
        <v>121</v>
      </c>
      <c r="E136" s="77">
        <v>564700</v>
      </c>
      <c r="F136" s="77">
        <v>564700</v>
      </c>
      <c r="G136" s="79">
        <v>45910</v>
      </c>
      <c r="H136">
        <v>4</v>
      </c>
    </row>
    <row r="137" spans="1:8" hidden="1" x14ac:dyDescent="0.25">
      <c r="A137" s="76">
        <v>45910</v>
      </c>
      <c r="B137" s="78">
        <v>2473</v>
      </c>
      <c r="C137" s="78" t="s">
        <v>26</v>
      </c>
      <c r="D137" t="s">
        <v>164</v>
      </c>
      <c r="E137" s="77">
        <v>1002083</v>
      </c>
      <c r="F137" s="77">
        <v>1002083</v>
      </c>
      <c r="G137" s="79">
        <v>45908</v>
      </c>
      <c r="H137">
        <v>3</v>
      </c>
    </row>
    <row r="138" spans="1:8" hidden="1" x14ac:dyDescent="0.25">
      <c r="A138" s="76">
        <v>45914</v>
      </c>
      <c r="B138" s="78">
        <v>2405</v>
      </c>
      <c r="C138" s="78" t="s">
        <v>26</v>
      </c>
      <c r="D138" t="s">
        <v>129</v>
      </c>
      <c r="E138" s="77">
        <v>418100</v>
      </c>
      <c r="F138" s="77">
        <v>418100</v>
      </c>
      <c r="G138" s="79">
        <v>45889</v>
      </c>
      <c r="H138">
        <v>4</v>
      </c>
    </row>
    <row r="139" spans="1:8" hidden="1" x14ac:dyDescent="0.25">
      <c r="A139" s="76">
        <v>45917</v>
      </c>
      <c r="B139" s="78">
        <v>2417</v>
      </c>
      <c r="C139" s="78" t="s">
        <v>26</v>
      </c>
      <c r="D139" t="s">
        <v>130</v>
      </c>
      <c r="E139" s="77">
        <v>834700</v>
      </c>
      <c r="F139" s="77">
        <v>834700</v>
      </c>
      <c r="G139" s="79">
        <v>45878</v>
      </c>
      <c r="H139">
        <v>4</v>
      </c>
    </row>
    <row r="140" spans="1:8" hidden="1" x14ac:dyDescent="0.25">
      <c r="A140" s="76">
        <v>45917</v>
      </c>
      <c r="B140" s="78">
        <v>2566</v>
      </c>
      <c r="C140" s="78" t="s">
        <v>26</v>
      </c>
      <c r="D140" t="s">
        <v>200</v>
      </c>
      <c r="E140" s="77">
        <v>790200</v>
      </c>
      <c r="F140" s="77">
        <v>790200</v>
      </c>
      <c r="G140" s="79">
        <v>45904</v>
      </c>
      <c r="H140">
        <v>2</v>
      </c>
    </row>
    <row r="141" spans="1:8" hidden="1" x14ac:dyDescent="0.25">
      <c r="A141" s="76">
        <v>45918</v>
      </c>
      <c r="B141" s="78">
        <v>2493</v>
      </c>
      <c r="C141" s="78" t="s">
        <v>26</v>
      </c>
      <c r="D141" t="s">
        <v>166</v>
      </c>
      <c r="E141" s="77">
        <v>328300</v>
      </c>
      <c r="F141" s="77">
        <v>332896</v>
      </c>
      <c r="G141" s="79">
        <v>45932</v>
      </c>
      <c r="H141">
        <v>3</v>
      </c>
    </row>
    <row r="142" spans="1:8" hidden="1" x14ac:dyDescent="0.25">
      <c r="A142" s="76">
        <v>45919</v>
      </c>
      <c r="B142" s="78">
        <v>2494</v>
      </c>
      <c r="C142" s="78" t="s">
        <v>26</v>
      </c>
      <c r="D142" t="s">
        <v>168</v>
      </c>
      <c r="E142" s="77">
        <v>425600</v>
      </c>
      <c r="F142" s="77">
        <v>425600</v>
      </c>
      <c r="G142" s="79">
        <v>45919</v>
      </c>
      <c r="H142">
        <v>3</v>
      </c>
    </row>
    <row r="143" spans="1:8" hidden="1" x14ac:dyDescent="0.25">
      <c r="A143" s="76">
        <v>45919</v>
      </c>
      <c r="B143" s="78">
        <v>2637</v>
      </c>
      <c r="C143" s="78" t="s">
        <v>26</v>
      </c>
      <c r="D143" t="s">
        <v>221</v>
      </c>
      <c r="E143" s="77">
        <v>663300</v>
      </c>
      <c r="F143" s="77">
        <v>663300</v>
      </c>
      <c r="G143" s="79">
        <v>45903</v>
      </c>
      <c r="H143">
        <v>1</v>
      </c>
    </row>
    <row r="144" spans="1:8" hidden="1" x14ac:dyDescent="0.25">
      <c r="A144" s="76">
        <v>45920</v>
      </c>
      <c r="B144" s="78">
        <v>2498</v>
      </c>
      <c r="C144" s="78" t="s">
        <v>26</v>
      </c>
      <c r="D144" t="s">
        <v>153</v>
      </c>
      <c r="E144" s="77">
        <v>904200</v>
      </c>
      <c r="F144" s="77">
        <v>904200</v>
      </c>
      <c r="G144" s="79">
        <v>45924</v>
      </c>
      <c r="H144">
        <v>3</v>
      </c>
    </row>
    <row r="145" spans="1:9" hidden="1" x14ac:dyDescent="0.25">
      <c r="A145" s="76">
        <v>45920</v>
      </c>
      <c r="B145" s="78">
        <v>2640</v>
      </c>
      <c r="C145" s="78" t="s">
        <v>26</v>
      </c>
      <c r="D145" t="s">
        <v>234</v>
      </c>
      <c r="E145" s="77">
        <v>789900</v>
      </c>
      <c r="F145" s="77">
        <v>789900</v>
      </c>
      <c r="G145" s="79">
        <v>45910</v>
      </c>
      <c r="H145">
        <v>1</v>
      </c>
    </row>
    <row r="146" spans="1:9" hidden="1" x14ac:dyDescent="0.25">
      <c r="A146" s="76">
        <v>45921</v>
      </c>
      <c r="B146" s="78">
        <v>2344</v>
      </c>
      <c r="C146" s="78" t="s">
        <v>26</v>
      </c>
      <c r="D146" t="s">
        <v>109</v>
      </c>
      <c r="E146" s="77">
        <v>317700</v>
      </c>
      <c r="F146" s="77">
        <v>317700</v>
      </c>
      <c r="G146" s="79">
        <v>45926</v>
      </c>
      <c r="H146">
        <v>5</v>
      </c>
    </row>
    <row r="147" spans="1:9" hidden="1" x14ac:dyDescent="0.25">
      <c r="A147" s="76">
        <v>45921</v>
      </c>
      <c r="B147" s="78">
        <v>2425</v>
      </c>
      <c r="C147" s="78" t="s">
        <v>26</v>
      </c>
      <c r="D147" t="s">
        <v>131</v>
      </c>
      <c r="E147" s="77">
        <v>534800</v>
      </c>
      <c r="F147" s="77">
        <v>556727</v>
      </c>
      <c r="G147" s="79">
        <v>45962</v>
      </c>
      <c r="H147">
        <v>4</v>
      </c>
    </row>
    <row r="148" spans="1:9" hidden="1" x14ac:dyDescent="0.25">
      <c r="A148" s="76">
        <v>45921</v>
      </c>
      <c r="B148" s="78">
        <v>2500</v>
      </c>
      <c r="C148" s="78" t="s">
        <v>26</v>
      </c>
      <c r="D148" t="s">
        <v>155</v>
      </c>
      <c r="E148" s="77">
        <v>600000</v>
      </c>
      <c r="F148" s="77">
        <v>600000</v>
      </c>
      <c r="G148" s="79">
        <v>45920</v>
      </c>
      <c r="H148">
        <v>3</v>
      </c>
    </row>
    <row r="149" spans="1:9" hidden="1" x14ac:dyDescent="0.25">
      <c r="A149" s="76">
        <v>45921</v>
      </c>
      <c r="B149" s="78">
        <v>2501</v>
      </c>
      <c r="C149" s="78" t="s">
        <v>26</v>
      </c>
      <c r="D149" t="s">
        <v>157</v>
      </c>
      <c r="E149" s="77">
        <v>325300</v>
      </c>
      <c r="F149" s="77">
        <v>325300</v>
      </c>
      <c r="G149" s="79">
        <v>45915</v>
      </c>
      <c r="H149">
        <v>3</v>
      </c>
    </row>
    <row r="150" spans="1:9" hidden="1" x14ac:dyDescent="0.25">
      <c r="A150" s="76">
        <v>45921</v>
      </c>
      <c r="B150" s="78">
        <v>2505</v>
      </c>
      <c r="C150" s="78" t="s">
        <v>26</v>
      </c>
      <c r="D150" t="s">
        <v>170</v>
      </c>
      <c r="E150" s="77">
        <v>901600</v>
      </c>
      <c r="F150" s="77">
        <v>928648</v>
      </c>
      <c r="G150" s="79">
        <v>45951</v>
      </c>
      <c r="H150">
        <v>3</v>
      </c>
      <c r="I150" s="174"/>
    </row>
    <row r="151" spans="1:9" hidden="1" x14ac:dyDescent="0.25">
      <c r="A151" s="76">
        <v>45921</v>
      </c>
      <c r="B151" s="78">
        <v>2648</v>
      </c>
      <c r="C151" s="78" t="s">
        <v>26</v>
      </c>
      <c r="D151" t="s">
        <v>91</v>
      </c>
      <c r="E151" s="77">
        <v>1389700</v>
      </c>
      <c r="F151" s="77">
        <v>1389700</v>
      </c>
      <c r="G151" s="79">
        <v>45919</v>
      </c>
      <c r="H151">
        <v>1</v>
      </c>
    </row>
    <row r="152" spans="1:9" hidden="1" x14ac:dyDescent="0.25">
      <c r="A152" s="76">
        <v>45922</v>
      </c>
      <c r="B152" s="78">
        <v>2280</v>
      </c>
      <c r="C152" s="78" t="s">
        <v>26</v>
      </c>
      <c r="D152" t="s">
        <v>98</v>
      </c>
      <c r="E152" s="77">
        <v>433600</v>
      </c>
      <c r="F152" s="77">
        <v>433600</v>
      </c>
      <c r="G152" s="79">
        <v>45929</v>
      </c>
      <c r="H152">
        <v>6</v>
      </c>
    </row>
    <row r="153" spans="1:9" hidden="1" x14ac:dyDescent="0.25">
      <c r="A153" s="76">
        <v>45922</v>
      </c>
      <c r="B153" s="78">
        <v>2282</v>
      </c>
      <c r="C153" s="78" t="s">
        <v>26</v>
      </c>
      <c r="D153" t="s">
        <v>97</v>
      </c>
      <c r="E153" s="77">
        <v>480300</v>
      </c>
      <c r="F153" s="77">
        <v>480300</v>
      </c>
      <c r="G153" s="79">
        <v>45927</v>
      </c>
      <c r="H153">
        <v>6</v>
      </c>
    </row>
    <row r="154" spans="1:9" hidden="1" x14ac:dyDescent="0.25">
      <c r="A154" s="76">
        <v>45922</v>
      </c>
      <c r="B154" s="78">
        <v>2346</v>
      </c>
      <c r="C154" s="78" t="s">
        <v>26</v>
      </c>
      <c r="D154" t="s">
        <v>111</v>
      </c>
      <c r="E154" s="77">
        <v>656200</v>
      </c>
      <c r="F154" s="77">
        <v>656200</v>
      </c>
      <c r="G154" s="79">
        <v>45921</v>
      </c>
      <c r="H154">
        <v>5</v>
      </c>
    </row>
    <row r="155" spans="1:9" hidden="1" x14ac:dyDescent="0.25">
      <c r="A155" s="76">
        <v>45923</v>
      </c>
      <c r="B155" s="78">
        <v>2348</v>
      </c>
      <c r="C155" s="78" t="s">
        <v>26</v>
      </c>
      <c r="D155" t="s">
        <v>113</v>
      </c>
      <c r="E155" s="77">
        <v>393500</v>
      </c>
      <c r="F155" s="77">
        <v>243091</v>
      </c>
      <c r="G155" s="79">
        <v>45891</v>
      </c>
      <c r="H155">
        <v>5</v>
      </c>
    </row>
    <row r="156" spans="1:9" hidden="1" x14ac:dyDescent="0.25">
      <c r="A156" s="76">
        <v>45924</v>
      </c>
      <c r="B156" s="78">
        <v>2205</v>
      </c>
      <c r="C156" s="78" t="s">
        <v>26</v>
      </c>
      <c r="D156" t="s">
        <v>66</v>
      </c>
      <c r="E156" s="77">
        <v>679600</v>
      </c>
      <c r="F156" s="77">
        <v>547250</v>
      </c>
      <c r="G156" s="79">
        <v>45721</v>
      </c>
      <c r="H156">
        <v>7</v>
      </c>
    </row>
    <row r="157" spans="1:9" hidden="1" x14ac:dyDescent="0.25">
      <c r="A157" s="76">
        <v>45924</v>
      </c>
      <c r="B157" s="78">
        <v>2286</v>
      </c>
      <c r="C157" s="78" t="s">
        <v>26</v>
      </c>
      <c r="D157" t="s">
        <v>91</v>
      </c>
      <c r="E157" s="77">
        <v>1661600</v>
      </c>
      <c r="F157" s="77">
        <v>1661600</v>
      </c>
      <c r="G157" s="79">
        <v>45904</v>
      </c>
      <c r="H157">
        <v>6</v>
      </c>
    </row>
    <row r="158" spans="1:9" hidden="1" x14ac:dyDescent="0.25">
      <c r="A158" s="76">
        <v>45924</v>
      </c>
      <c r="B158" s="78">
        <v>2349</v>
      </c>
      <c r="C158" s="78" t="s">
        <v>26</v>
      </c>
      <c r="D158" t="s">
        <v>115</v>
      </c>
      <c r="E158" s="77">
        <v>920600</v>
      </c>
      <c r="F158" s="77">
        <v>920600</v>
      </c>
      <c r="G158" s="79">
        <v>45926</v>
      </c>
      <c r="H158">
        <v>5</v>
      </c>
    </row>
    <row r="159" spans="1:9" hidden="1" x14ac:dyDescent="0.25">
      <c r="A159" s="76">
        <v>45924</v>
      </c>
      <c r="B159" s="78">
        <v>2431</v>
      </c>
      <c r="C159" s="78" t="s">
        <v>26</v>
      </c>
      <c r="D159" t="s">
        <v>149</v>
      </c>
      <c r="E159" s="77">
        <v>313900</v>
      </c>
      <c r="F159" s="77">
        <v>313900</v>
      </c>
      <c r="G159" s="79">
        <v>45924</v>
      </c>
      <c r="H159">
        <v>4</v>
      </c>
    </row>
    <row r="160" spans="1:9" hidden="1" x14ac:dyDescent="0.25">
      <c r="A160" s="76">
        <v>45925</v>
      </c>
      <c r="B160" s="78">
        <v>2511</v>
      </c>
      <c r="C160" s="78" t="s">
        <v>26</v>
      </c>
      <c r="D160" t="s">
        <v>171</v>
      </c>
      <c r="E160" s="77">
        <v>712300</v>
      </c>
      <c r="F160" s="77">
        <v>712300</v>
      </c>
      <c r="G160" s="79">
        <v>45930</v>
      </c>
      <c r="H160">
        <v>3</v>
      </c>
    </row>
    <row r="161" spans="1:8" hidden="1" x14ac:dyDescent="0.25">
      <c r="A161" s="76">
        <v>45926</v>
      </c>
      <c r="B161" s="78">
        <v>2290</v>
      </c>
      <c r="C161" s="78" t="s">
        <v>26</v>
      </c>
      <c r="D161" t="s">
        <v>95</v>
      </c>
      <c r="E161" s="77">
        <v>629900</v>
      </c>
      <c r="F161" s="77">
        <v>641868</v>
      </c>
      <c r="G161" s="79">
        <v>45945</v>
      </c>
      <c r="H161">
        <v>6</v>
      </c>
    </row>
    <row r="162" spans="1:8" hidden="1" x14ac:dyDescent="0.25">
      <c r="A162" s="76">
        <v>45926</v>
      </c>
      <c r="B162" s="78">
        <v>2354</v>
      </c>
      <c r="C162" s="78" t="s">
        <v>26</v>
      </c>
      <c r="D162" t="s">
        <v>117</v>
      </c>
      <c r="E162" s="77">
        <v>867300</v>
      </c>
      <c r="F162" s="77">
        <v>867300</v>
      </c>
      <c r="G162" s="79">
        <v>45857</v>
      </c>
      <c r="H162">
        <v>5</v>
      </c>
    </row>
    <row r="163" spans="1:8" hidden="1" x14ac:dyDescent="0.25">
      <c r="A163" s="76">
        <v>45926</v>
      </c>
      <c r="B163" s="78">
        <v>2515</v>
      </c>
      <c r="C163" s="78" t="s">
        <v>26</v>
      </c>
      <c r="D163" t="s">
        <v>174</v>
      </c>
      <c r="E163" s="77">
        <v>804500</v>
      </c>
      <c r="F163" s="77">
        <v>804500</v>
      </c>
      <c r="G163" s="79">
        <v>45929</v>
      </c>
      <c r="H163">
        <v>3</v>
      </c>
    </row>
    <row r="164" spans="1:8" hidden="1" x14ac:dyDescent="0.25">
      <c r="A164" s="76">
        <v>45927</v>
      </c>
      <c r="B164" s="78">
        <v>2662</v>
      </c>
      <c r="C164" s="78" t="s">
        <v>26</v>
      </c>
      <c r="D164" t="s">
        <v>236</v>
      </c>
      <c r="E164" s="77">
        <v>869800</v>
      </c>
      <c r="F164" s="77">
        <v>884587</v>
      </c>
      <c r="G164" s="79">
        <v>45944</v>
      </c>
      <c r="H164">
        <v>1</v>
      </c>
    </row>
    <row r="165" spans="1:8" hidden="1" x14ac:dyDescent="0.25">
      <c r="A165" s="76">
        <v>45928</v>
      </c>
      <c r="B165" s="78">
        <v>2234</v>
      </c>
      <c r="C165" s="78" t="s">
        <v>26</v>
      </c>
      <c r="D165" t="s">
        <v>70</v>
      </c>
      <c r="E165" s="77">
        <v>323400</v>
      </c>
      <c r="F165" s="77">
        <v>323400</v>
      </c>
      <c r="G165" s="79">
        <v>45898</v>
      </c>
      <c r="H165">
        <v>7</v>
      </c>
    </row>
    <row r="166" spans="1:8" hidden="1" x14ac:dyDescent="0.25">
      <c r="A166" s="76">
        <v>45928</v>
      </c>
      <c r="B166" s="78">
        <v>2517</v>
      </c>
      <c r="C166" s="78" t="s">
        <v>26</v>
      </c>
      <c r="D166" t="s">
        <v>176</v>
      </c>
      <c r="E166" s="77">
        <v>728700</v>
      </c>
      <c r="F166" s="77">
        <v>728700</v>
      </c>
      <c r="G166" s="79">
        <v>45930</v>
      </c>
      <c r="H166">
        <v>3</v>
      </c>
    </row>
    <row r="167" spans="1:8" hidden="1" x14ac:dyDescent="0.25">
      <c r="A167" s="76">
        <v>45929</v>
      </c>
      <c r="B167" s="78">
        <v>2588</v>
      </c>
      <c r="C167" s="78" t="s">
        <v>26</v>
      </c>
      <c r="D167" t="s">
        <v>201</v>
      </c>
      <c r="E167" s="77">
        <v>792000</v>
      </c>
      <c r="F167" s="77">
        <v>792000</v>
      </c>
      <c r="G167" s="79">
        <v>45930</v>
      </c>
      <c r="H167">
        <v>2</v>
      </c>
    </row>
    <row r="168" spans="1:8" hidden="1" x14ac:dyDescent="0.25">
      <c r="A168" s="76">
        <v>45929</v>
      </c>
      <c r="B168" s="78">
        <v>912</v>
      </c>
      <c r="C168" s="78" t="s">
        <v>240</v>
      </c>
      <c r="D168" t="s">
        <v>241</v>
      </c>
      <c r="E168" s="77">
        <v>605800</v>
      </c>
      <c r="F168" s="77">
        <v>605800</v>
      </c>
      <c r="G168" s="79">
        <v>45929</v>
      </c>
      <c r="H168">
        <v>2</v>
      </c>
    </row>
    <row r="169" spans="1:8" hidden="1" x14ac:dyDescent="0.25">
      <c r="A169" s="76">
        <v>45930</v>
      </c>
      <c r="B169" s="78">
        <v>2597</v>
      </c>
      <c r="C169" s="78" t="s">
        <v>26</v>
      </c>
      <c r="D169" t="s">
        <v>204</v>
      </c>
      <c r="E169" s="77">
        <v>578500</v>
      </c>
      <c r="F169" s="77">
        <v>583128</v>
      </c>
      <c r="G169" s="79">
        <v>45938</v>
      </c>
      <c r="H169">
        <v>2</v>
      </c>
    </row>
    <row r="170" spans="1:8" hidden="1" x14ac:dyDescent="0.25">
      <c r="A170" s="76">
        <v>45930</v>
      </c>
      <c r="B170" s="78">
        <v>2598</v>
      </c>
      <c r="C170" s="78" t="s">
        <v>26</v>
      </c>
      <c r="D170" t="s">
        <v>205</v>
      </c>
      <c r="E170" s="77">
        <v>1681500</v>
      </c>
      <c r="F170" s="77">
        <v>1681500</v>
      </c>
      <c r="G170" s="79">
        <v>45932</v>
      </c>
      <c r="H170">
        <v>2</v>
      </c>
    </row>
    <row r="171" spans="1:8" hidden="1" x14ac:dyDescent="0.25">
      <c r="A171" s="76">
        <v>45930</v>
      </c>
      <c r="B171" s="78">
        <v>2674</v>
      </c>
      <c r="C171" s="78" t="s">
        <v>26</v>
      </c>
      <c r="D171" t="s">
        <v>238</v>
      </c>
      <c r="E171" s="77">
        <v>1080900</v>
      </c>
      <c r="F171" s="77">
        <v>1080900</v>
      </c>
      <c r="G171" s="79">
        <v>45926</v>
      </c>
      <c r="H171">
        <v>1</v>
      </c>
    </row>
    <row r="172" spans="1:8" hidden="1" x14ac:dyDescent="0.25">
      <c r="A172" s="76">
        <v>45931</v>
      </c>
      <c r="B172" s="78">
        <v>2311</v>
      </c>
      <c r="C172" s="78" t="s">
        <v>26</v>
      </c>
      <c r="D172" t="s">
        <v>93</v>
      </c>
      <c r="E172" s="77">
        <v>418100</v>
      </c>
      <c r="F172" s="77">
        <v>418100</v>
      </c>
      <c r="G172" s="79">
        <v>45926</v>
      </c>
      <c r="H172">
        <v>6</v>
      </c>
    </row>
    <row r="173" spans="1:8" hidden="1" x14ac:dyDescent="0.25">
      <c r="A173" s="76">
        <v>45931</v>
      </c>
      <c r="B173" s="78">
        <v>2677</v>
      </c>
      <c r="C173" s="78" t="s">
        <v>26</v>
      </c>
      <c r="D173" t="s">
        <v>255</v>
      </c>
      <c r="E173" s="77">
        <v>1033600</v>
      </c>
      <c r="F173" s="77">
        <v>1033600</v>
      </c>
      <c r="G173" s="79">
        <v>45933</v>
      </c>
      <c r="H173">
        <v>1</v>
      </c>
    </row>
    <row r="174" spans="1:8" hidden="1" x14ac:dyDescent="0.25">
      <c r="A174" s="76">
        <v>45932</v>
      </c>
      <c r="B174" s="78">
        <v>2606</v>
      </c>
      <c r="C174" s="78" t="s">
        <v>26</v>
      </c>
      <c r="D174" t="s">
        <v>225</v>
      </c>
      <c r="E174" s="77">
        <v>1011300</v>
      </c>
      <c r="F174" s="77">
        <v>1011300</v>
      </c>
      <c r="G174" s="79">
        <v>45927</v>
      </c>
      <c r="H174">
        <v>2</v>
      </c>
    </row>
    <row r="175" spans="1:8" hidden="1" x14ac:dyDescent="0.25">
      <c r="A175" s="76">
        <v>45933</v>
      </c>
      <c r="B175" s="78">
        <v>2520</v>
      </c>
      <c r="C175" s="78" t="s">
        <v>26</v>
      </c>
      <c r="D175" t="s">
        <v>196</v>
      </c>
      <c r="E175" s="77">
        <v>481700</v>
      </c>
      <c r="F175" s="77">
        <v>481700</v>
      </c>
      <c r="G175" s="79">
        <v>45931</v>
      </c>
      <c r="H175">
        <v>3</v>
      </c>
    </row>
    <row r="176" spans="1:8" hidden="1" x14ac:dyDescent="0.25">
      <c r="A176" s="76">
        <v>45935</v>
      </c>
      <c r="B176" s="78">
        <v>2246</v>
      </c>
      <c r="C176" s="78" t="s">
        <v>26</v>
      </c>
      <c r="D176" t="s">
        <v>82</v>
      </c>
      <c r="E176" s="77">
        <v>636400</v>
      </c>
      <c r="F176" s="77">
        <v>636400</v>
      </c>
      <c r="G176" s="79">
        <v>45932</v>
      </c>
      <c r="H176">
        <v>7</v>
      </c>
    </row>
    <row r="177" spans="1:8" hidden="1" x14ac:dyDescent="0.25">
      <c r="A177" s="76">
        <v>45935</v>
      </c>
      <c r="B177" s="78">
        <v>2382</v>
      </c>
      <c r="C177" s="78" t="s">
        <v>26</v>
      </c>
      <c r="D177" t="s">
        <v>119</v>
      </c>
      <c r="E177" s="77">
        <v>581200</v>
      </c>
      <c r="F177" s="77">
        <v>581200</v>
      </c>
      <c r="G177" s="79">
        <v>45938</v>
      </c>
      <c r="H177">
        <v>5</v>
      </c>
    </row>
    <row r="178" spans="1:8" hidden="1" x14ac:dyDescent="0.25">
      <c r="A178" s="76">
        <v>45935</v>
      </c>
      <c r="B178" s="78">
        <v>2463</v>
      </c>
      <c r="C178" s="78" t="s">
        <v>26</v>
      </c>
      <c r="D178" t="s">
        <v>151</v>
      </c>
      <c r="E178" s="77">
        <v>782600</v>
      </c>
      <c r="F178" s="77">
        <v>782600</v>
      </c>
      <c r="G178" s="79">
        <v>45934</v>
      </c>
      <c r="H178">
        <v>4</v>
      </c>
    </row>
    <row r="179" spans="1:8" hidden="1" x14ac:dyDescent="0.25">
      <c r="A179" s="76">
        <v>45936</v>
      </c>
      <c r="B179" s="78">
        <v>2691</v>
      </c>
      <c r="C179" s="78" t="s">
        <v>26</v>
      </c>
      <c r="D179" t="s">
        <v>257</v>
      </c>
      <c r="E179" s="77">
        <v>1949300</v>
      </c>
      <c r="F179" s="77">
        <v>1949300</v>
      </c>
      <c r="G179" s="79">
        <v>45940</v>
      </c>
      <c r="H179">
        <v>1</v>
      </c>
    </row>
    <row r="180" spans="1:8" hidden="1" x14ac:dyDescent="0.25">
      <c r="A180" s="76">
        <v>45937</v>
      </c>
      <c r="B180" s="78">
        <v>2154</v>
      </c>
      <c r="C180" s="78" t="s">
        <v>26</v>
      </c>
      <c r="D180" t="s">
        <v>63</v>
      </c>
      <c r="E180" s="77">
        <v>672300</v>
      </c>
      <c r="F180" s="77">
        <v>672300</v>
      </c>
      <c r="G180" s="79">
        <v>45939</v>
      </c>
      <c r="H180">
        <v>8</v>
      </c>
    </row>
    <row r="181" spans="1:8" hidden="1" x14ac:dyDescent="0.25">
      <c r="A181" s="76">
        <v>45937</v>
      </c>
      <c r="B181" s="78">
        <v>2249</v>
      </c>
      <c r="C181" s="78" t="s">
        <v>26</v>
      </c>
      <c r="D181" t="s">
        <v>88</v>
      </c>
      <c r="E181" s="77">
        <v>1060500</v>
      </c>
      <c r="F181" s="77">
        <v>1060500</v>
      </c>
      <c r="G181" s="79">
        <v>45938</v>
      </c>
      <c r="H181">
        <v>7</v>
      </c>
    </row>
    <row r="182" spans="1:8" hidden="1" x14ac:dyDescent="0.25">
      <c r="A182" s="76">
        <v>45938</v>
      </c>
      <c r="B182" s="78">
        <v>2255</v>
      </c>
      <c r="C182" s="78" t="s">
        <v>26</v>
      </c>
      <c r="D182" t="s">
        <v>85</v>
      </c>
      <c r="E182" s="77">
        <v>570600</v>
      </c>
      <c r="F182" s="77">
        <v>570600</v>
      </c>
      <c r="G182" s="79">
        <v>45945</v>
      </c>
      <c r="H182">
        <v>7</v>
      </c>
    </row>
    <row r="183" spans="1:8" hidden="1" x14ac:dyDescent="0.25">
      <c r="A183" s="76">
        <v>45939</v>
      </c>
      <c r="B183" s="78">
        <v>2620</v>
      </c>
      <c r="C183" s="78" t="s">
        <v>26</v>
      </c>
      <c r="D183" t="s">
        <v>232</v>
      </c>
      <c r="E183" s="77">
        <v>780600</v>
      </c>
      <c r="F183" s="77">
        <v>786845</v>
      </c>
      <c r="G183" s="79">
        <v>45947</v>
      </c>
      <c r="H183">
        <v>2</v>
      </c>
    </row>
    <row r="184" spans="1:8" hidden="1" x14ac:dyDescent="0.25">
      <c r="A184" s="76">
        <v>45939</v>
      </c>
      <c r="B184" s="78">
        <v>883</v>
      </c>
      <c r="C184" s="78" t="s">
        <v>240</v>
      </c>
      <c r="D184" t="s">
        <v>243</v>
      </c>
      <c r="E184" s="77">
        <v>287300</v>
      </c>
      <c r="F184" s="77">
        <v>287300</v>
      </c>
      <c r="G184" s="79">
        <v>45929</v>
      </c>
      <c r="H184">
        <v>3</v>
      </c>
    </row>
    <row r="185" spans="1:8" hidden="1" x14ac:dyDescent="0.25">
      <c r="A185" s="76">
        <v>45940</v>
      </c>
      <c r="B185" s="78">
        <v>2399</v>
      </c>
      <c r="C185" s="78" t="s">
        <v>26</v>
      </c>
      <c r="D185" t="s">
        <v>121</v>
      </c>
      <c r="E185" s="77">
        <v>564700</v>
      </c>
      <c r="F185" s="77">
        <v>564700</v>
      </c>
      <c r="G185" s="79">
        <v>45940</v>
      </c>
      <c r="H185">
        <v>5</v>
      </c>
    </row>
    <row r="186" spans="1:8" x14ac:dyDescent="0.25">
      <c r="A186" s="76">
        <v>45940</v>
      </c>
      <c r="B186" s="78">
        <v>2473</v>
      </c>
      <c r="C186" s="78" t="s">
        <v>26</v>
      </c>
      <c r="D186" t="s">
        <v>164</v>
      </c>
      <c r="E186" s="280">
        <v>1002083</v>
      </c>
      <c r="H186">
        <v>4</v>
      </c>
    </row>
    <row r="187" spans="1:8" hidden="1" x14ac:dyDescent="0.25">
      <c r="A187" s="76">
        <v>45940</v>
      </c>
      <c r="B187" s="78">
        <v>2698</v>
      </c>
      <c r="C187" s="78" t="s">
        <v>26</v>
      </c>
      <c r="D187" t="s">
        <v>259</v>
      </c>
      <c r="E187" s="280">
        <v>1070800</v>
      </c>
      <c r="F187" s="77">
        <v>1082579</v>
      </c>
      <c r="G187" s="79">
        <v>45951</v>
      </c>
      <c r="H187">
        <v>1</v>
      </c>
    </row>
    <row r="188" spans="1:8" hidden="1" x14ac:dyDescent="0.25">
      <c r="A188" s="76">
        <v>45944</v>
      </c>
      <c r="B188" s="78">
        <v>2405</v>
      </c>
      <c r="C188" s="78" t="s">
        <v>26</v>
      </c>
      <c r="D188" t="s">
        <v>129</v>
      </c>
      <c r="E188" s="280">
        <v>418100</v>
      </c>
      <c r="F188" s="77">
        <v>423953</v>
      </c>
      <c r="G188" s="79">
        <v>45958</v>
      </c>
      <c r="H188">
        <v>5</v>
      </c>
    </row>
    <row r="189" spans="1:8" hidden="1" x14ac:dyDescent="0.25">
      <c r="A189" s="76">
        <v>45946</v>
      </c>
      <c r="B189" s="78">
        <v>2711</v>
      </c>
      <c r="C189" s="78" t="s">
        <v>26</v>
      </c>
      <c r="D189" t="s">
        <v>261</v>
      </c>
      <c r="E189" s="280">
        <v>888800</v>
      </c>
      <c r="F189" s="77">
        <v>888800</v>
      </c>
      <c r="G189" s="79">
        <v>45946</v>
      </c>
      <c r="H189">
        <v>1</v>
      </c>
    </row>
    <row r="190" spans="1:8" hidden="1" x14ac:dyDescent="0.25">
      <c r="A190" s="76">
        <v>45947</v>
      </c>
      <c r="B190" s="78">
        <v>2417</v>
      </c>
      <c r="C190" s="78" t="s">
        <v>26</v>
      </c>
      <c r="D190" t="s">
        <v>130</v>
      </c>
      <c r="E190" s="280">
        <v>834700</v>
      </c>
      <c r="F190" s="77">
        <v>834700</v>
      </c>
      <c r="G190" s="79">
        <v>45878</v>
      </c>
      <c r="H190">
        <v>5</v>
      </c>
    </row>
    <row r="191" spans="1:8" hidden="1" x14ac:dyDescent="0.25">
      <c r="A191" s="76">
        <v>45947</v>
      </c>
      <c r="B191" s="78">
        <v>2566</v>
      </c>
      <c r="C191" s="78" t="s">
        <v>26</v>
      </c>
      <c r="D191" t="s">
        <v>200</v>
      </c>
      <c r="E191" s="280">
        <v>790200</v>
      </c>
      <c r="F191" s="77">
        <v>790200</v>
      </c>
      <c r="G191" s="79">
        <v>45904</v>
      </c>
      <c r="H191">
        <v>3</v>
      </c>
    </row>
    <row r="192" spans="1:8" hidden="1" x14ac:dyDescent="0.25">
      <c r="A192" s="76">
        <v>45948</v>
      </c>
      <c r="B192" s="78">
        <v>2493</v>
      </c>
      <c r="C192" s="78" t="s">
        <v>26</v>
      </c>
      <c r="D192" t="s">
        <v>166</v>
      </c>
      <c r="E192" s="280">
        <v>328300</v>
      </c>
      <c r="F192" s="77">
        <v>328300</v>
      </c>
      <c r="G192" s="79">
        <v>45955</v>
      </c>
      <c r="H192">
        <v>4</v>
      </c>
    </row>
    <row r="193" spans="1:8" hidden="1" x14ac:dyDescent="0.25">
      <c r="A193" s="76">
        <v>45949</v>
      </c>
      <c r="B193" s="78">
        <v>2494</v>
      </c>
      <c r="C193" s="78" t="s">
        <v>26</v>
      </c>
      <c r="D193" t="s">
        <v>168</v>
      </c>
      <c r="E193" s="280">
        <v>425600</v>
      </c>
      <c r="F193" s="77">
        <v>425600</v>
      </c>
      <c r="G193" s="79">
        <v>45951</v>
      </c>
      <c r="H193">
        <v>4</v>
      </c>
    </row>
    <row r="194" spans="1:8" hidden="1" x14ac:dyDescent="0.25">
      <c r="A194" s="76">
        <v>45949</v>
      </c>
      <c r="B194" s="78">
        <v>2637</v>
      </c>
      <c r="C194" s="78" t="s">
        <v>26</v>
      </c>
      <c r="D194" t="s">
        <v>221</v>
      </c>
      <c r="E194" s="280">
        <v>663300</v>
      </c>
      <c r="F194" s="77">
        <v>663300</v>
      </c>
      <c r="G194" s="79">
        <v>45932</v>
      </c>
      <c r="H194">
        <v>2</v>
      </c>
    </row>
    <row r="195" spans="1:8" hidden="1" x14ac:dyDescent="0.25">
      <c r="A195" s="76">
        <v>45950</v>
      </c>
      <c r="B195" s="78">
        <v>2498</v>
      </c>
      <c r="C195" s="78" t="s">
        <v>26</v>
      </c>
      <c r="D195" t="s">
        <v>153</v>
      </c>
      <c r="E195" s="280">
        <v>904200</v>
      </c>
      <c r="F195" s="77">
        <v>904200</v>
      </c>
      <c r="G195" s="79">
        <v>45951</v>
      </c>
      <c r="H195">
        <v>4</v>
      </c>
    </row>
    <row r="196" spans="1:8" hidden="1" x14ac:dyDescent="0.25">
      <c r="A196" s="76">
        <v>45950</v>
      </c>
      <c r="B196" s="78">
        <v>2640</v>
      </c>
      <c r="C196" s="78" t="s">
        <v>26</v>
      </c>
      <c r="D196" t="s">
        <v>234</v>
      </c>
      <c r="E196" s="280">
        <v>789900</v>
      </c>
      <c r="F196" s="77">
        <v>789900</v>
      </c>
      <c r="G196" s="79">
        <v>45951</v>
      </c>
      <c r="H196">
        <v>2</v>
      </c>
    </row>
    <row r="197" spans="1:8" hidden="1" x14ac:dyDescent="0.25">
      <c r="A197" s="76">
        <v>45951</v>
      </c>
      <c r="B197" s="78">
        <v>2344</v>
      </c>
      <c r="C197" s="78" t="s">
        <v>26</v>
      </c>
      <c r="D197" t="s">
        <v>109</v>
      </c>
      <c r="E197" s="280">
        <v>317700</v>
      </c>
      <c r="F197" s="77">
        <v>317700</v>
      </c>
      <c r="G197" s="79">
        <v>45958</v>
      </c>
      <c r="H197">
        <v>6</v>
      </c>
    </row>
    <row r="198" spans="1:8" hidden="1" x14ac:dyDescent="0.25">
      <c r="A198" s="76">
        <v>45951</v>
      </c>
      <c r="B198" s="78">
        <v>2425</v>
      </c>
      <c r="C198" s="78" t="s">
        <v>26</v>
      </c>
      <c r="D198" t="s">
        <v>131</v>
      </c>
      <c r="E198" s="280">
        <v>534800</v>
      </c>
      <c r="F198" s="77">
        <v>540683</v>
      </c>
      <c r="G198" s="79">
        <v>45962</v>
      </c>
      <c r="H198">
        <v>5</v>
      </c>
    </row>
    <row r="199" spans="1:8" hidden="1" x14ac:dyDescent="0.25">
      <c r="A199" s="76">
        <v>45951</v>
      </c>
      <c r="B199" s="78">
        <v>2500</v>
      </c>
      <c r="C199" s="78" t="s">
        <v>26</v>
      </c>
      <c r="D199" t="s">
        <v>155</v>
      </c>
      <c r="E199" s="280">
        <v>600000</v>
      </c>
      <c r="F199" s="77">
        <v>600000</v>
      </c>
      <c r="G199" s="79">
        <v>45950</v>
      </c>
      <c r="H199">
        <v>4</v>
      </c>
    </row>
    <row r="200" spans="1:8" hidden="1" x14ac:dyDescent="0.25">
      <c r="A200" s="76">
        <v>45951</v>
      </c>
      <c r="B200" s="78">
        <v>2501</v>
      </c>
      <c r="C200" s="78" t="s">
        <v>26</v>
      </c>
      <c r="D200" t="s">
        <v>157</v>
      </c>
      <c r="E200" s="280">
        <v>325300</v>
      </c>
      <c r="F200" s="77">
        <v>325300</v>
      </c>
      <c r="G200" s="79">
        <v>45953</v>
      </c>
      <c r="H200">
        <v>4</v>
      </c>
    </row>
    <row r="201" spans="1:8" hidden="1" x14ac:dyDescent="0.25">
      <c r="A201" s="76">
        <v>45951</v>
      </c>
      <c r="B201" s="78">
        <v>2505</v>
      </c>
      <c r="C201" s="78" t="s">
        <v>26</v>
      </c>
      <c r="D201" t="s">
        <v>170</v>
      </c>
      <c r="E201" s="280">
        <v>901600</v>
      </c>
      <c r="F201" s="77">
        <v>932254</v>
      </c>
      <c r="G201" s="79">
        <v>45985</v>
      </c>
      <c r="H201">
        <v>4</v>
      </c>
    </row>
    <row r="202" spans="1:8" hidden="1" x14ac:dyDescent="0.25">
      <c r="A202" s="76">
        <v>45951</v>
      </c>
      <c r="B202" s="78">
        <v>2648</v>
      </c>
      <c r="C202" s="78" t="s">
        <v>26</v>
      </c>
      <c r="D202" t="s">
        <v>91</v>
      </c>
      <c r="E202" s="280">
        <v>1389700</v>
      </c>
      <c r="F202" s="77">
        <v>1389700</v>
      </c>
      <c r="G202" s="79">
        <v>45951</v>
      </c>
      <c r="H202">
        <v>2</v>
      </c>
    </row>
    <row r="203" spans="1:8" hidden="1" x14ac:dyDescent="0.25">
      <c r="A203" s="76">
        <v>45952</v>
      </c>
      <c r="B203" s="78">
        <v>2280</v>
      </c>
      <c r="C203" s="78" t="s">
        <v>26</v>
      </c>
      <c r="D203" t="s">
        <v>98</v>
      </c>
      <c r="E203" s="280">
        <v>433600</v>
      </c>
      <c r="F203" s="77">
        <v>433600</v>
      </c>
      <c r="G203" s="79">
        <v>45959</v>
      </c>
      <c r="H203">
        <v>7</v>
      </c>
    </row>
    <row r="204" spans="1:8" hidden="1" x14ac:dyDescent="0.25">
      <c r="A204" s="76">
        <v>45952</v>
      </c>
      <c r="B204" s="78">
        <v>2282</v>
      </c>
      <c r="C204" s="78" t="s">
        <v>26</v>
      </c>
      <c r="D204" t="s">
        <v>97</v>
      </c>
      <c r="E204" s="280">
        <v>480300</v>
      </c>
      <c r="F204" s="77">
        <v>480300</v>
      </c>
      <c r="G204" s="79">
        <v>45945</v>
      </c>
      <c r="H204">
        <v>7</v>
      </c>
    </row>
    <row r="205" spans="1:8" hidden="1" x14ac:dyDescent="0.25">
      <c r="A205" s="76">
        <v>45952</v>
      </c>
      <c r="B205" s="78">
        <v>2346</v>
      </c>
      <c r="C205" s="78" t="s">
        <v>26</v>
      </c>
      <c r="D205" t="s">
        <v>111</v>
      </c>
      <c r="E205" s="280">
        <v>656200</v>
      </c>
      <c r="F205" s="77">
        <v>656200</v>
      </c>
      <c r="G205" s="79">
        <v>45953</v>
      </c>
      <c r="H205">
        <v>6</v>
      </c>
    </row>
    <row r="206" spans="1:8" hidden="1" x14ac:dyDescent="0.25">
      <c r="A206" s="76">
        <v>45953</v>
      </c>
      <c r="B206" s="78">
        <v>2348</v>
      </c>
      <c r="C206" s="78" t="s">
        <v>26</v>
      </c>
      <c r="D206" t="s">
        <v>113</v>
      </c>
      <c r="E206" s="280">
        <v>393500</v>
      </c>
      <c r="F206" s="77">
        <v>251599</v>
      </c>
      <c r="G206" s="79">
        <v>45891</v>
      </c>
      <c r="H206">
        <v>6</v>
      </c>
    </row>
    <row r="207" spans="1:8" hidden="1" x14ac:dyDescent="0.25">
      <c r="A207" s="76">
        <v>45953</v>
      </c>
      <c r="B207" s="78">
        <v>2721</v>
      </c>
      <c r="C207" s="78" t="s">
        <v>26</v>
      </c>
      <c r="D207" t="s">
        <v>267</v>
      </c>
      <c r="E207" s="280">
        <v>1571700</v>
      </c>
      <c r="F207" s="77">
        <v>1571700</v>
      </c>
      <c r="G207" s="79">
        <v>45931</v>
      </c>
      <c r="H207">
        <v>1</v>
      </c>
    </row>
    <row r="208" spans="1:8" hidden="1" x14ac:dyDescent="0.25">
      <c r="A208" s="76">
        <v>45953</v>
      </c>
      <c r="B208" s="78">
        <v>2722</v>
      </c>
      <c r="C208" s="78" t="s">
        <v>26</v>
      </c>
      <c r="D208" t="s">
        <v>290</v>
      </c>
      <c r="E208" s="280">
        <v>1064400</v>
      </c>
      <c r="F208" s="77">
        <v>1064400</v>
      </c>
      <c r="G208" s="79">
        <v>45954</v>
      </c>
      <c r="H208">
        <v>1</v>
      </c>
    </row>
    <row r="209" spans="1:8" hidden="1" x14ac:dyDescent="0.25">
      <c r="A209" s="76">
        <v>45954</v>
      </c>
      <c r="B209" s="78">
        <v>2205</v>
      </c>
      <c r="C209" s="78" t="s">
        <v>26</v>
      </c>
      <c r="D209" t="s">
        <v>66</v>
      </c>
      <c r="E209" s="280">
        <v>679600</v>
      </c>
      <c r="F209" s="77">
        <v>547250</v>
      </c>
      <c r="G209" s="79">
        <v>45721</v>
      </c>
      <c r="H209">
        <v>8</v>
      </c>
    </row>
    <row r="210" spans="1:8" hidden="1" x14ac:dyDescent="0.25">
      <c r="A210" s="76">
        <v>45954</v>
      </c>
      <c r="B210" s="78">
        <v>2349</v>
      </c>
      <c r="C210" s="78" t="s">
        <v>26</v>
      </c>
      <c r="D210" t="s">
        <v>115</v>
      </c>
      <c r="E210" s="280">
        <v>920600</v>
      </c>
      <c r="F210" s="77">
        <v>920600</v>
      </c>
      <c r="G210" s="79">
        <v>45955</v>
      </c>
      <c r="H210">
        <v>6</v>
      </c>
    </row>
    <row r="211" spans="1:8" hidden="1" x14ac:dyDescent="0.25">
      <c r="A211" s="76">
        <v>45954</v>
      </c>
      <c r="B211" s="78">
        <v>2431</v>
      </c>
      <c r="C211" s="78" t="s">
        <v>26</v>
      </c>
      <c r="D211" t="s">
        <v>149</v>
      </c>
      <c r="E211" s="280">
        <v>313900</v>
      </c>
      <c r="F211" s="77">
        <v>318609</v>
      </c>
      <c r="G211" s="79">
        <v>45969</v>
      </c>
      <c r="H211">
        <v>5</v>
      </c>
    </row>
    <row r="212" spans="1:8" hidden="1" x14ac:dyDescent="0.25">
      <c r="A212" s="76">
        <v>45955</v>
      </c>
      <c r="B212" s="78">
        <v>2511</v>
      </c>
      <c r="C212" s="78" t="s">
        <v>26</v>
      </c>
      <c r="D212" t="s">
        <v>171</v>
      </c>
      <c r="E212" s="280">
        <v>712300</v>
      </c>
      <c r="F212" s="77">
        <v>719423</v>
      </c>
      <c r="G212" s="79">
        <v>45965</v>
      </c>
      <c r="H212">
        <v>4</v>
      </c>
    </row>
    <row r="213" spans="1:8" hidden="1" x14ac:dyDescent="0.25">
      <c r="A213" s="76">
        <v>45956</v>
      </c>
      <c r="B213" s="78">
        <v>2290</v>
      </c>
      <c r="C213" s="78" t="s">
        <v>26</v>
      </c>
      <c r="D213" t="s">
        <v>95</v>
      </c>
      <c r="E213" s="280">
        <v>629900</v>
      </c>
      <c r="F213" s="77">
        <v>650057</v>
      </c>
      <c r="G213" s="79">
        <v>45988</v>
      </c>
      <c r="H213">
        <v>7</v>
      </c>
    </row>
    <row r="214" spans="1:8" hidden="1" x14ac:dyDescent="0.25">
      <c r="A214" s="76">
        <v>45956</v>
      </c>
      <c r="B214" s="78">
        <v>2354</v>
      </c>
      <c r="C214" s="78" t="s">
        <v>26</v>
      </c>
      <c r="D214" t="s">
        <v>117</v>
      </c>
      <c r="E214" s="280">
        <v>867300</v>
      </c>
      <c r="F214" s="77">
        <v>867300</v>
      </c>
      <c r="G214" s="79">
        <v>45888</v>
      </c>
      <c r="H214">
        <v>6</v>
      </c>
    </row>
    <row r="215" spans="1:8" hidden="1" x14ac:dyDescent="0.25">
      <c r="A215" s="76">
        <v>45956</v>
      </c>
      <c r="B215" s="78">
        <v>2515</v>
      </c>
      <c r="C215" s="78" t="s">
        <v>26</v>
      </c>
      <c r="D215" t="s">
        <v>174</v>
      </c>
      <c r="E215" s="280">
        <v>804500</v>
      </c>
      <c r="F215" s="77">
        <v>804500</v>
      </c>
      <c r="G215" s="79">
        <v>45960</v>
      </c>
      <c r="H215">
        <v>4</v>
      </c>
    </row>
    <row r="216" spans="1:8" hidden="1" x14ac:dyDescent="0.25">
      <c r="A216" s="76">
        <v>45957</v>
      </c>
      <c r="B216" s="78">
        <v>2662</v>
      </c>
      <c r="C216" s="78" t="s">
        <v>26</v>
      </c>
      <c r="D216" t="s">
        <v>236</v>
      </c>
      <c r="E216" s="280">
        <v>869800</v>
      </c>
      <c r="F216" s="77">
        <v>883717</v>
      </c>
      <c r="G216" s="79">
        <v>45973</v>
      </c>
      <c r="H216">
        <v>2</v>
      </c>
    </row>
    <row r="217" spans="1:8" hidden="1" x14ac:dyDescent="0.25">
      <c r="A217" s="76">
        <v>45957</v>
      </c>
      <c r="B217" s="78">
        <v>2731</v>
      </c>
      <c r="C217" s="78" t="s">
        <v>26</v>
      </c>
      <c r="D217" t="s">
        <v>278</v>
      </c>
      <c r="E217" s="280">
        <v>1096900</v>
      </c>
      <c r="F217" s="77">
        <v>1108966</v>
      </c>
      <c r="G217" s="79">
        <v>45968</v>
      </c>
      <c r="H217">
        <v>1</v>
      </c>
    </row>
    <row r="218" spans="1:8" hidden="1" x14ac:dyDescent="0.25">
      <c r="A218" s="76">
        <v>45957</v>
      </c>
      <c r="B218" s="78">
        <v>2733</v>
      </c>
      <c r="C218" s="78" t="s">
        <v>26</v>
      </c>
      <c r="D218" t="s">
        <v>281</v>
      </c>
      <c r="E218" s="280">
        <v>1386300</v>
      </c>
      <c r="F218" s="77">
        <v>1386300</v>
      </c>
      <c r="G218" s="79">
        <v>45955</v>
      </c>
      <c r="H218">
        <v>1</v>
      </c>
    </row>
    <row r="219" spans="1:8" hidden="1" x14ac:dyDescent="0.25">
      <c r="A219" s="76">
        <v>45958</v>
      </c>
      <c r="B219" s="78">
        <v>2234</v>
      </c>
      <c r="C219" s="78" t="s">
        <v>26</v>
      </c>
      <c r="D219" t="s">
        <v>70</v>
      </c>
      <c r="E219" s="280">
        <v>323400</v>
      </c>
      <c r="F219" s="77">
        <v>323400</v>
      </c>
      <c r="G219" s="79">
        <v>45925</v>
      </c>
      <c r="H219">
        <v>8</v>
      </c>
    </row>
    <row r="220" spans="1:8" hidden="1" x14ac:dyDescent="0.25">
      <c r="A220" s="76">
        <v>45958</v>
      </c>
      <c r="B220" s="78">
        <v>2517</v>
      </c>
      <c r="C220" s="78" t="s">
        <v>26</v>
      </c>
      <c r="D220" t="s">
        <v>176</v>
      </c>
      <c r="E220" s="280">
        <v>728700</v>
      </c>
      <c r="F220" s="77">
        <v>728700</v>
      </c>
      <c r="G220" s="79">
        <v>45965</v>
      </c>
      <c r="H220">
        <v>4</v>
      </c>
    </row>
    <row r="221" spans="1:8" hidden="1" x14ac:dyDescent="0.25">
      <c r="A221" s="76">
        <v>45959</v>
      </c>
      <c r="B221" s="78">
        <v>2588</v>
      </c>
      <c r="C221" s="78" t="s">
        <v>26</v>
      </c>
      <c r="D221" t="s">
        <v>201</v>
      </c>
      <c r="E221" s="280">
        <v>792000</v>
      </c>
      <c r="F221" s="77">
        <v>792000</v>
      </c>
      <c r="G221" s="79">
        <v>45965</v>
      </c>
      <c r="H221">
        <v>3</v>
      </c>
    </row>
    <row r="222" spans="1:8" hidden="1" x14ac:dyDescent="0.25">
      <c r="A222" s="76">
        <v>45959</v>
      </c>
      <c r="B222" s="78">
        <v>912</v>
      </c>
      <c r="C222" s="78" t="s">
        <v>240</v>
      </c>
      <c r="D222" t="s">
        <v>241</v>
      </c>
      <c r="E222" s="280">
        <v>605800</v>
      </c>
      <c r="F222" s="77">
        <v>610646</v>
      </c>
      <c r="G222" s="79">
        <v>45967</v>
      </c>
      <c r="H222">
        <v>3</v>
      </c>
    </row>
    <row r="223" spans="1:8" hidden="1" x14ac:dyDescent="0.25">
      <c r="A223" s="76">
        <v>45960</v>
      </c>
      <c r="B223" s="78">
        <v>2674</v>
      </c>
      <c r="C223" s="78" t="s">
        <v>26</v>
      </c>
      <c r="D223" t="s">
        <v>238</v>
      </c>
      <c r="E223" s="280">
        <v>1080900</v>
      </c>
      <c r="F223" s="77">
        <v>1080900</v>
      </c>
      <c r="G223" s="79">
        <v>45961</v>
      </c>
      <c r="H223">
        <v>2</v>
      </c>
    </row>
    <row r="224" spans="1:8" hidden="1" x14ac:dyDescent="0.25">
      <c r="A224" s="76">
        <v>45961</v>
      </c>
      <c r="B224" s="78">
        <v>2597</v>
      </c>
      <c r="C224" s="78" t="s">
        <v>26</v>
      </c>
      <c r="D224" t="s">
        <v>204</v>
      </c>
      <c r="E224" s="280">
        <v>578500</v>
      </c>
      <c r="F224" s="77">
        <v>578500</v>
      </c>
      <c r="G224" s="79">
        <v>45965</v>
      </c>
      <c r="H224">
        <v>3</v>
      </c>
    </row>
    <row r="225" spans="1:8" hidden="1" x14ac:dyDescent="0.25">
      <c r="A225" s="76">
        <v>45961</v>
      </c>
      <c r="B225" s="78">
        <v>2598</v>
      </c>
      <c r="C225" s="78" t="s">
        <v>26</v>
      </c>
      <c r="D225" t="s">
        <v>205</v>
      </c>
      <c r="E225" s="280">
        <v>1681500</v>
      </c>
      <c r="F225" s="77">
        <v>1698315</v>
      </c>
      <c r="G225" s="79">
        <v>45971</v>
      </c>
      <c r="H225">
        <v>3</v>
      </c>
    </row>
    <row r="226" spans="1:8" hidden="1" x14ac:dyDescent="0.25">
      <c r="A226" s="76">
        <v>45962</v>
      </c>
      <c r="B226" s="78">
        <v>2311</v>
      </c>
      <c r="C226" s="78" t="s">
        <v>26</v>
      </c>
      <c r="D226" t="s">
        <v>93</v>
      </c>
      <c r="E226" s="280">
        <v>418100</v>
      </c>
      <c r="F226" s="77">
        <v>418100</v>
      </c>
      <c r="G226" s="79">
        <v>45959</v>
      </c>
      <c r="H226">
        <v>7</v>
      </c>
    </row>
    <row r="227" spans="1:8" hidden="1" x14ac:dyDescent="0.25">
      <c r="A227" s="76">
        <v>45962</v>
      </c>
      <c r="B227" s="78">
        <v>2677</v>
      </c>
      <c r="C227" s="78" t="s">
        <v>26</v>
      </c>
      <c r="D227" t="s">
        <v>255</v>
      </c>
      <c r="E227" s="280">
        <v>1033600</v>
      </c>
      <c r="F227" s="77">
        <v>1033600</v>
      </c>
      <c r="G227" s="79">
        <v>45964</v>
      </c>
      <c r="H227">
        <v>2</v>
      </c>
    </row>
    <row r="228" spans="1:8" hidden="1" x14ac:dyDescent="0.25">
      <c r="A228" s="76">
        <v>45963</v>
      </c>
      <c r="B228" s="78">
        <v>2606</v>
      </c>
      <c r="C228" s="78" t="s">
        <v>26</v>
      </c>
      <c r="D228" t="s">
        <v>225</v>
      </c>
      <c r="E228" s="280">
        <v>1011300</v>
      </c>
      <c r="F228" s="77">
        <v>1011300</v>
      </c>
      <c r="G228" s="79">
        <v>45959</v>
      </c>
      <c r="H228">
        <v>3</v>
      </c>
    </row>
    <row r="229" spans="1:8" hidden="1" x14ac:dyDescent="0.25">
      <c r="A229" s="76">
        <v>45964</v>
      </c>
      <c r="B229" s="78">
        <v>2520</v>
      </c>
      <c r="C229" s="78" t="s">
        <v>26</v>
      </c>
      <c r="D229" t="s">
        <v>196</v>
      </c>
      <c r="E229" s="280">
        <v>481700</v>
      </c>
      <c r="F229" s="77">
        <v>481700</v>
      </c>
      <c r="G229" s="79">
        <v>45962</v>
      </c>
      <c r="H229">
        <v>4</v>
      </c>
    </row>
    <row r="230" spans="1:8" hidden="1" x14ac:dyDescent="0.25">
      <c r="A230" s="76">
        <v>45965</v>
      </c>
      <c r="B230" s="78">
        <v>2745</v>
      </c>
      <c r="C230" s="78" t="s">
        <v>26</v>
      </c>
      <c r="D230" t="s">
        <v>285</v>
      </c>
      <c r="E230" s="280">
        <v>1007800</v>
      </c>
      <c r="F230" s="77">
        <v>1007800</v>
      </c>
      <c r="G230" s="79">
        <v>45965</v>
      </c>
      <c r="H230">
        <v>1</v>
      </c>
    </row>
    <row r="231" spans="1:8" hidden="1" x14ac:dyDescent="0.25">
      <c r="A231" s="76">
        <v>45966</v>
      </c>
      <c r="B231" s="78">
        <v>2246</v>
      </c>
      <c r="C231" s="78" t="s">
        <v>26</v>
      </c>
      <c r="D231" t="s">
        <v>82</v>
      </c>
      <c r="E231" s="280">
        <v>636400</v>
      </c>
      <c r="F231" s="77">
        <v>636400</v>
      </c>
      <c r="G231" s="79">
        <v>45965</v>
      </c>
      <c r="H231">
        <v>8</v>
      </c>
    </row>
    <row r="232" spans="1:8" hidden="1" x14ac:dyDescent="0.25">
      <c r="A232" s="76">
        <v>45966</v>
      </c>
      <c r="B232" s="78">
        <v>2382</v>
      </c>
      <c r="C232" s="78" t="s">
        <v>26</v>
      </c>
      <c r="D232" t="s">
        <v>119</v>
      </c>
      <c r="E232" s="280">
        <v>581200</v>
      </c>
      <c r="F232" s="77">
        <v>581200</v>
      </c>
      <c r="G232" s="79">
        <v>45962</v>
      </c>
      <c r="H232">
        <v>6</v>
      </c>
    </row>
    <row r="233" spans="1:8" hidden="1" x14ac:dyDescent="0.25">
      <c r="A233" s="76">
        <v>45966</v>
      </c>
      <c r="B233" s="78">
        <v>2463</v>
      </c>
      <c r="C233" s="78" t="s">
        <v>26</v>
      </c>
      <c r="D233" t="s">
        <v>151</v>
      </c>
      <c r="E233" s="280">
        <v>782600</v>
      </c>
      <c r="F233" s="77">
        <v>782600</v>
      </c>
      <c r="G233" s="79">
        <v>45966</v>
      </c>
      <c r="H233">
        <v>5</v>
      </c>
    </row>
    <row r="234" spans="1:8" hidden="1" x14ac:dyDescent="0.25">
      <c r="A234" s="76">
        <v>45967</v>
      </c>
      <c r="B234" s="78">
        <v>2691</v>
      </c>
      <c r="C234" s="78" t="s">
        <v>26</v>
      </c>
      <c r="D234" t="s">
        <v>257</v>
      </c>
      <c r="E234" s="280">
        <v>1949300</v>
      </c>
      <c r="F234" s="77">
        <v>1966844</v>
      </c>
      <c r="G234" s="79">
        <v>45976</v>
      </c>
      <c r="H234">
        <v>2</v>
      </c>
    </row>
    <row r="235" spans="1:8" hidden="1" x14ac:dyDescent="0.25">
      <c r="A235" s="76">
        <v>45968</v>
      </c>
      <c r="B235" s="78">
        <v>2154</v>
      </c>
      <c r="C235" s="78" t="s">
        <v>26</v>
      </c>
      <c r="D235" t="s">
        <v>63</v>
      </c>
      <c r="E235" s="280">
        <v>672300</v>
      </c>
      <c r="F235" s="77">
        <v>672300</v>
      </c>
      <c r="G235" s="79">
        <v>45969</v>
      </c>
      <c r="H235">
        <v>9</v>
      </c>
    </row>
    <row r="236" spans="1:8" hidden="1" x14ac:dyDescent="0.25">
      <c r="A236" s="76">
        <v>45968</v>
      </c>
      <c r="B236" s="78">
        <v>2249</v>
      </c>
      <c r="C236" s="78" t="s">
        <v>26</v>
      </c>
      <c r="D236" t="s">
        <v>88</v>
      </c>
      <c r="E236" s="280">
        <v>1060500</v>
      </c>
      <c r="F236" s="77">
        <v>1060500</v>
      </c>
      <c r="G236" s="79">
        <v>45969</v>
      </c>
      <c r="H236">
        <v>8</v>
      </c>
    </row>
    <row r="237" spans="1:8" hidden="1" x14ac:dyDescent="0.25">
      <c r="A237" s="76">
        <v>45969</v>
      </c>
      <c r="B237" s="78">
        <v>2255</v>
      </c>
      <c r="C237" s="78" t="s">
        <v>26</v>
      </c>
      <c r="D237" t="s">
        <v>85</v>
      </c>
      <c r="E237" s="280">
        <v>570600</v>
      </c>
      <c r="F237" s="77">
        <v>570600</v>
      </c>
      <c r="G237" s="79">
        <v>45976</v>
      </c>
      <c r="H237">
        <v>8</v>
      </c>
    </row>
    <row r="238" spans="1:8" hidden="1" x14ac:dyDescent="0.25">
      <c r="A238" s="76">
        <v>45970</v>
      </c>
      <c r="B238" s="78">
        <v>2620</v>
      </c>
      <c r="C238" s="78" t="s">
        <v>26</v>
      </c>
      <c r="D238" t="s">
        <v>232</v>
      </c>
      <c r="E238" s="280">
        <v>780600</v>
      </c>
      <c r="F238" s="77">
        <v>788406</v>
      </c>
      <c r="G238" s="79">
        <v>45980</v>
      </c>
      <c r="H238">
        <v>3</v>
      </c>
    </row>
    <row r="239" spans="1:8" hidden="1" x14ac:dyDescent="0.25">
      <c r="A239" s="76">
        <v>45970</v>
      </c>
      <c r="B239" s="78">
        <v>883</v>
      </c>
      <c r="C239" s="78" t="s">
        <v>240</v>
      </c>
      <c r="D239" t="s">
        <v>243</v>
      </c>
      <c r="E239" s="280">
        <v>287300</v>
      </c>
      <c r="F239" s="77">
        <v>287300</v>
      </c>
      <c r="G239" s="79">
        <v>45953</v>
      </c>
      <c r="H239">
        <v>4</v>
      </c>
    </row>
    <row r="240" spans="1:8" hidden="1" x14ac:dyDescent="0.25">
      <c r="A240" s="76">
        <v>45971</v>
      </c>
      <c r="B240" s="78">
        <v>2399</v>
      </c>
      <c r="C240" s="78" t="s">
        <v>26</v>
      </c>
      <c r="D240" t="s">
        <v>121</v>
      </c>
      <c r="E240" s="280">
        <v>564700</v>
      </c>
      <c r="F240" s="77">
        <v>564700</v>
      </c>
      <c r="G240" s="79">
        <v>45971</v>
      </c>
      <c r="H240">
        <v>6</v>
      </c>
    </row>
    <row r="241" spans="1:8" x14ac:dyDescent="0.25">
      <c r="A241" s="76">
        <v>45971</v>
      </c>
      <c r="B241" s="78">
        <v>2473</v>
      </c>
      <c r="C241" s="78" t="s">
        <v>26</v>
      </c>
      <c r="D241" t="s">
        <v>164</v>
      </c>
      <c r="E241" s="280">
        <v>1002083</v>
      </c>
      <c r="H241">
        <v>5</v>
      </c>
    </row>
    <row r="242" spans="1:8" hidden="1" x14ac:dyDescent="0.25">
      <c r="A242" s="76">
        <v>45971</v>
      </c>
      <c r="B242" s="78">
        <v>2698</v>
      </c>
      <c r="C242" s="78" t="s">
        <v>26</v>
      </c>
      <c r="D242" t="s">
        <v>259</v>
      </c>
      <c r="E242" s="280">
        <v>1070800</v>
      </c>
      <c r="F242" s="149">
        <v>1161818</v>
      </c>
      <c r="G242" s="79">
        <v>46056</v>
      </c>
      <c r="H242">
        <v>2</v>
      </c>
    </row>
    <row r="243" spans="1:8" hidden="1" x14ac:dyDescent="0.25">
      <c r="A243" s="76">
        <v>45975</v>
      </c>
      <c r="B243" s="78">
        <v>2405</v>
      </c>
      <c r="C243" s="78" t="s">
        <v>26</v>
      </c>
      <c r="D243" t="s">
        <v>129</v>
      </c>
      <c r="E243" s="280">
        <v>418100</v>
      </c>
      <c r="F243" s="77">
        <v>418100</v>
      </c>
      <c r="G243" s="79">
        <v>45958</v>
      </c>
      <c r="H243">
        <v>6</v>
      </c>
    </row>
    <row r="244" spans="1:8" hidden="1" x14ac:dyDescent="0.25">
      <c r="A244" s="76">
        <v>45977</v>
      </c>
      <c r="B244" s="78">
        <v>2711</v>
      </c>
      <c r="C244" s="78" t="s">
        <v>26</v>
      </c>
      <c r="D244" t="s">
        <v>261</v>
      </c>
      <c r="E244" s="280">
        <v>888800</v>
      </c>
      <c r="F244" s="77">
        <v>888800</v>
      </c>
      <c r="G244" s="79">
        <v>45976</v>
      </c>
      <c r="H244">
        <v>2</v>
      </c>
    </row>
    <row r="245" spans="1:8" hidden="1" x14ac:dyDescent="0.25">
      <c r="A245" s="76">
        <v>45978</v>
      </c>
      <c r="B245" s="78">
        <v>2417</v>
      </c>
      <c r="C245" s="78" t="s">
        <v>26</v>
      </c>
      <c r="D245" t="s">
        <v>130</v>
      </c>
      <c r="E245" s="280">
        <v>834700</v>
      </c>
      <c r="F245" s="77">
        <v>834700</v>
      </c>
      <c r="G245" s="79">
        <v>45878</v>
      </c>
      <c r="H245">
        <v>6</v>
      </c>
    </row>
    <row r="246" spans="1:8" hidden="1" x14ac:dyDescent="0.25">
      <c r="A246" s="76">
        <v>45978</v>
      </c>
      <c r="B246" s="78">
        <v>2566</v>
      </c>
      <c r="C246" s="78" t="s">
        <v>26</v>
      </c>
      <c r="D246" t="s">
        <v>200</v>
      </c>
      <c r="E246" s="280">
        <v>790200</v>
      </c>
      <c r="F246" s="77">
        <v>790200</v>
      </c>
      <c r="G246" s="79">
        <v>45904</v>
      </c>
      <c r="H246">
        <v>4</v>
      </c>
    </row>
    <row r="247" spans="1:8" hidden="1" x14ac:dyDescent="0.25">
      <c r="A247" s="76">
        <v>45979</v>
      </c>
      <c r="B247" s="78">
        <v>2493</v>
      </c>
      <c r="C247" s="78" t="s">
        <v>26</v>
      </c>
      <c r="D247" t="s">
        <v>166</v>
      </c>
      <c r="E247" s="280">
        <v>328300</v>
      </c>
      <c r="F247" s="77">
        <v>328300</v>
      </c>
      <c r="G247" s="79">
        <v>45982</v>
      </c>
      <c r="H247">
        <v>5</v>
      </c>
    </row>
    <row r="248" spans="1:8" hidden="1" x14ac:dyDescent="0.25">
      <c r="A248" s="76">
        <v>45980</v>
      </c>
      <c r="B248" s="78">
        <v>2494</v>
      </c>
      <c r="C248" s="78" t="s">
        <v>26</v>
      </c>
      <c r="D248" t="s">
        <v>168</v>
      </c>
      <c r="E248" s="280">
        <v>425600</v>
      </c>
      <c r="F248" s="77">
        <v>425600</v>
      </c>
      <c r="G248" s="79">
        <v>45980</v>
      </c>
      <c r="H248">
        <v>5</v>
      </c>
    </row>
    <row r="249" spans="1:8" hidden="1" x14ac:dyDescent="0.25">
      <c r="A249" s="76">
        <v>45980</v>
      </c>
      <c r="B249" s="78">
        <v>2637</v>
      </c>
      <c r="C249" s="78" t="s">
        <v>26</v>
      </c>
      <c r="D249" t="s">
        <v>221</v>
      </c>
      <c r="E249" s="280">
        <v>663300</v>
      </c>
      <c r="F249" s="77">
        <v>663300</v>
      </c>
      <c r="G249" s="79">
        <v>45962</v>
      </c>
      <c r="H249">
        <v>3</v>
      </c>
    </row>
    <row r="250" spans="1:8" hidden="1" x14ac:dyDescent="0.25">
      <c r="A250" s="76">
        <v>45981</v>
      </c>
      <c r="B250" s="78">
        <v>2498</v>
      </c>
      <c r="C250" s="78" t="s">
        <v>26</v>
      </c>
      <c r="D250" t="s">
        <v>153</v>
      </c>
      <c r="E250" s="280">
        <v>904200</v>
      </c>
      <c r="F250" s="77">
        <v>904200</v>
      </c>
      <c r="G250" s="79">
        <v>45985</v>
      </c>
      <c r="H250">
        <v>5</v>
      </c>
    </row>
    <row r="251" spans="1:8" hidden="1" x14ac:dyDescent="0.25">
      <c r="A251" s="76">
        <v>45981</v>
      </c>
      <c r="B251" s="78">
        <v>2640</v>
      </c>
      <c r="C251" s="78" t="s">
        <v>26</v>
      </c>
      <c r="D251" t="s">
        <v>234</v>
      </c>
      <c r="E251" s="280">
        <v>789900</v>
      </c>
      <c r="F251" s="77">
        <v>798589</v>
      </c>
      <c r="G251" s="79">
        <v>45992</v>
      </c>
      <c r="H251">
        <v>3</v>
      </c>
    </row>
    <row r="252" spans="1:8" hidden="1" x14ac:dyDescent="0.25">
      <c r="A252" s="76">
        <v>45982</v>
      </c>
      <c r="B252" s="78">
        <v>2344</v>
      </c>
      <c r="C252" s="78" t="s">
        <v>26</v>
      </c>
      <c r="D252" t="s">
        <v>109</v>
      </c>
      <c r="E252" s="280">
        <v>317700</v>
      </c>
      <c r="F252" s="77">
        <v>317700</v>
      </c>
      <c r="G252" s="79">
        <v>45987</v>
      </c>
      <c r="H252">
        <v>7</v>
      </c>
    </row>
    <row r="253" spans="1:8" hidden="1" x14ac:dyDescent="0.25">
      <c r="A253" s="76">
        <v>45982</v>
      </c>
      <c r="B253" s="78">
        <v>2425</v>
      </c>
      <c r="C253" s="78" t="s">
        <v>26</v>
      </c>
      <c r="D253" t="s">
        <v>131</v>
      </c>
      <c r="E253" s="280">
        <v>534800</v>
      </c>
      <c r="F253" s="77">
        <v>534800</v>
      </c>
      <c r="G253" s="79">
        <v>45983</v>
      </c>
      <c r="H253">
        <v>6</v>
      </c>
    </row>
    <row r="254" spans="1:8" hidden="1" x14ac:dyDescent="0.25">
      <c r="A254" s="76">
        <v>45982</v>
      </c>
      <c r="B254" s="78">
        <v>2500</v>
      </c>
      <c r="C254" s="78" t="s">
        <v>26</v>
      </c>
      <c r="D254" t="s">
        <v>155</v>
      </c>
      <c r="E254" s="280">
        <v>600000</v>
      </c>
      <c r="F254" s="77">
        <v>600000</v>
      </c>
      <c r="G254" s="79">
        <v>45981</v>
      </c>
      <c r="H254">
        <v>5</v>
      </c>
    </row>
    <row r="255" spans="1:8" hidden="1" x14ac:dyDescent="0.25">
      <c r="A255" s="76">
        <v>45982</v>
      </c>
      <c r="B255" s="78">
        <v>2501</v>
      </c>
      <c r="C255" s="78" t="s">
        <v>26</v>
      </c>
      <c r="D255" t="s">
        <v>157</v>
      </c>
      <c r="E255" s="280">
        <v>325300</v>
      </c>
      <c r="F255" s="77">
        <v>335384</v>
      </c>
      <c r="G255" s="79">
        <v>46013</v>
      </c>
      <c r="H255">
        <v>5</v>
      </c>
    </row>
    <row r="256" spans="1:8" hidden="1" x14ac:dyDescent="0.25">
      <c r="A256" s="76">
        <v>45982</v>
      </c>
      <c r="B256" s="78">
        <v>2505</v>
      </c>
      <c r="C256" s="78" t="s">
        <v>26</v>
      </c>
      <c r="D256" t="s">
        <v>170</v>
      </c>
      <c r="E256" s="280">
        <v>901600</v>
      </c>
      <c r="F256" s="77">
        <v>901600</v>
      </c>
      <c r="G256" s="79">
        <v>45985</v>
      </c>
      <c r="H256">
        <v>5</v>
      </c>
    </row>
    <row r="257" spans="1:8" hidden="1" x14ac:dyDescent="0.25">
      <c r="A257" s="76">
        <v>45982</v>
      </c>
      <c r="B257" s="78">
        <v>2648</v>
      </c>
      <c r="C257" s="78" t="s">
        <v>26</v>
      </c>
      <c r="D257" t="s">
        <v>91</v>
      </c>
      <c r="E257" s="280">
        <v>1389700</v>
      </c>
      <c r="F257" s="77">
        <v>1389700</v>
      </c>
      <c r="G257" s="79">
        <v>45981</v>
      </c>
      <c r="H257">
        <v>3</v>
      </c>
    </row>
    <row r="258" spans="1:8" hidden="1" x14ac:dyDescent="0.25">
      <c r="A258" s="76">
        <v>45983</v>
      </c>
      <c r="B258" s="78">
        <v>2280</v>
      </c>
      <c r="C258" s="78" t="s">
        <v>26</v>
      </c>
      <c r="D258" t="s">
        <v>98</v>
      </c>
      <c r="E258" s="280">
        <v>433600</v>
      </c>
      <c r="F258" s="77">
        <v>437502</v>
      </c>
      <c r="G258" s="79">
        <v>45992</v>
      </c>
      <c r="H258">
        <v>8</v>
      </c>
    </row>
    <row r="259" spans="1:8" hidden="1" x14ac:dyDescent="0.25">
      <c r="A259" s="76">
        <v>45983</v>
      </c>
      <c r="B259" s="78">
        <v>2282</v>
      </c>
      <c r="C259" s="78" t="s">
        <v>26</v>
      </c>
      <c r="D259" t="s">
        <v>97</v>
      </c>
      <c r="E259" s="280">
        <v>480300</v>
      </c>
      <c r="F259" s="77">
        <v>489426</v>
      </c>
      <c r="G259" s="79">
        <v>46002</v>
      </c>
      <c r="H259">
        <v>8</v>
      </c>
    </row>
    <row r="260" spans="1:8" hidden="1" x14ac:dyDescent="0.25">
      <c r="A260" s="76">
        <v>45983</v>
      </c>
      <c r="B260" s="78">
        <v>2346</v>
      </c>
      <c r="C260" s="78" t="s">
        <v>26</v>
      </c>
      <c r="D260" t="s">
        <v>111</v>
      </c>
      <c r="E260" s="280">
        <v>656200</v>
      </c>
      <c r="F260" s="77">
        <v>656200</v>
      </c>
      <c r="G260" s="79">
        <v>45985</v>
      </c>
      <c r="H260">
        <v>7</v>
      </c>
    </row>
    <row r="261" spans="1:8" hidden="1" x14ac:dyDescent="0.25">
      <c r="A261" s="76">
        <v>45984</v>
      </c>
      <c r="B261" s="78">
        <v>2348</v>
      </c>
      <c r="C261" s="78" t="s">
        <v>26</v>
      </c>
      <c r="D261" t="s">
        <v>113</v>
      </c>
      <c r="E261" s="280">
        <v>393500</v>
      </c>
      <c r="F261" s="77">
        <v>260405</v>
      </c>
      <c r="G261" s="79">
        <v>45891</v>
      </c>
      <c r="H261">
        <v>7</v>
      </c>
    </row>
    <row r="262" spans="1:8" hidden="1" x14ac:dyDescent="0.25">
      <c r="A262" s="76">
        <v>45984</v>
      </c>
      <c r="B262" s="78">
        <v>2721</v>
      </c>
      <c r="C262" s="78" t="s">
        <v>26</v>
      </c>
      <c r="D262" t="s">
        <v>267</v>
      </c>
      <c r="E262" s="280">
        <v>1571700</v>
      </c>
      <c r="F262" s="77">
        <v>1571700</v>
      </c>
      <c r="G262" s="79">
        <v>45931</v>
      </c>
      <c r="H262">
        <v>2</v>
      </c>
    </row>
    <row r="263" spans="1:8" hidden="1" x14ac:dyDescent="0.25">
      <c r="A263" s="76">
        <v>45984</v>
      </c>
      <c r="B263" s="78">
        <v>2722</v>
      </c>
      <c r="C263" s="78" t="s">
        <v>26</v>
      </c>
      <c r="D263" t="s">
        <v>290</v>
      </c>
      <c r="E263" s="280">
        <v>1064400</v>
      </c>
      <c r="F263" s="77">
        <v>1114427</v>
      </c>
      <c r="G263" s="79">
        <v>46031</v>
      </c>
      <c r="H263">
        <v>2</v>
      </c>
    </row>
    <row r="264" spans="1:8" hidden="1" x14ac:dyDescent="0.25">
      <c r="A264" s="76">
        <v>45985</v>
      </c>
      <c r="B264" s="78">
        <v>2205</v>
      </c>
      <c r="C264" s="78" t="s">
        <v>26</v>
      </c>
      <c r="D264" t="s">
        <v>66</v>
      </c>
      <c r="E264" s="280">
        <v>679600</v>
      </c>
      <c r="F264" s="77">
        <v>547250</v>
      </c>
      <c r="G264" s="79">
        <v>45721</v>
      </c>
      <c r="H264">
        <v>9</v>
      </c>
    </row>
    <row r="265" spans="1:8" hidden="1" x14ac:dyDescent="0.25">
      <c r="A265" s="76">
        <v>45985</v>
      </c>
      <c r="B265" s="78">
        <v>2349</v>
      </c>
      <c r="C265" s="78" t="s">
        <v>26</v>
      </c>
      <c r="D265" t="s">
        <v>115</v>
      </c>
      <c r="E265" s="280">
        <v>920600</v>
      </c>
      <c r="F265" s="77">
        <v>920600</v>
      </c>
      <c r="G265" s="79">
        <v>45988</v>
      </c>
      <c r="H265">
        <v>7</v>
      </c>
    </row>
    <row r="266" spans="1:8" hidden="1" x14ac:dyDescent="0.25">
      <c r="A266" s="76">
        <v>45985</v>
      </c>
      <c r="B266" s="78">
        <v>2431</v>
      </c>
      <c r="C266" s="78" t="s">
        <v>26</v>
      </c>
      <c r="D266" t="s">
        <v>149</v>
      </c>
      <c r="E266" s="280">
        <v>313900</v>
      </c>
      <c r="F266" s="77">
        <v>313900</v>
      </c>
      <c r="G266" s="79">
        <v>45969</v>
      </c>
      <c r="H266">
        <v>6</v>
      </c>
    </row>
    <row r="267" spans="1:8" hidden="1" x14ac:dyDescent="0.25">
      <c r="A267" s="76">
        <v>45985</v>
      </c>
      <c r="B267" s="78">
        <v>2764</v>
      </c>
      <c r="C267" s="78" t="s">
        <v>26</v>
      </c>
      <c r="D267" t="s">
        <v>299</v>
      </c>
      <c r="E267" s="280">
        <v>1526600</v>
      </c>
      <c r="F267" s="77">
        <v>1526600</v>
      </c>
      <c r="G267" s="79">
        <v>45985</v>
      </c>
      <c r="H267">
        <v>1</v>
      </c>
    </row>
    <row r="268" spans="1:8" hidden="1" x14ac:dyDescent="0.25">
      <c r="A268" s="76">
        <v>45986</v>
      </c>
      <c r="B268" s="78">
        <v>2511</v>
      </c>
      <c r="C268" s="78" t="s">
        <v>26</v>
      </c>
      <c r="D268" t="s">
        <v>171</v>
      </c>
      <c r="E268" s="280">
        <v>712300</v>
      </c>
      <c r="F268" s="77">
        <v>719423</v>
      </c>
      <c r="G268" s="79">
        <v>45996</v>
      </c>
      <c r="H268">
        <v>5</v>
      </c>
    </row>
    <row r="269" spans="1:8" hidden="1" x14ac:dyDescent="0.25">
      <c r="A269" s="76">
        <v>45986</v>
      </c>
      <c r="B269" s="78">
        <v>2766</v>
      </c>
      <c r="C269" s="78" t="s">
        <v>26</v>
      </c>
      <c r="D269" t="s">
        <v>293</v>
      </c>
      <c r="E269" s="280">
        <v>1061900</v>
      </c>
      <c r="F269" s="77">
        <v>1061900</v>
      </c>
      <c r="G269" s="79">
        <v>45986</v>
      </c>
      <c r="H269">
        <v>1</v>
      </c>
    </row>
    <row r="270" spans="1:8" hidden="1" x14ac:dyDescent="0.25">
      <c r="A270" s="76">
        <v>45987</v>
      </c>
      <c r="B270" s="78">
        <v>2290</v>
      </c>
      <c r="C270" s="78" t="s">
        <v>26</v>
      </c>
      <c r="D270" t="s">
        <v>95</v>
      </c>
      <c r="E270" s="280">
        <v>629900</v>
      </c>
      <c r="F270" s="77">
        <v>655726</v>
      </c>
      <c r="G270" s="79">
        <v>46028</v>
      </c>
      <c r="H270">
        <v>8</v>
      </c>
    </row>
    <row r="271" spans="1:8" hidden="1" x14ac:dyDescent="0.25">
      <c r="A271" s="76">
        <v>45987</v>
      </c>
      <c r="B271" s="78">
        <v>2354</v>
      </c>
      <c r="C271" s="78" t="s">
        <v>26</v>
      </c>
      <c r="D271" t="s">
        <v>117</v>
      </c>
      <c r="E271" s="280">
        <v>867300</v>
      </c>
      <c r="F271" s="77">
        <v>867300</v>
      </c>
      <c r="G271" s="79">
        <v>45888</v>
      </c>
      <c r="H271">
        <v>7</v>
      </c>
    </row>
    <row r="272" spans="1:8" hidden="1" x14ac:dyDescent="0.25">
      <c r="A272" s="76">
        <v>45987</v>
      </c>
      <c r="B272" s="78">
        <v>2515</v>
      </c>
      <c r="C272" s="78" t="s">
        <v>26</v>
      </c>
      <c r="D272" t="s">
        <v>174</v>
      </c>
      <c r="E272" s="280">
        <v>804500</v>
      </c>
      <c r="F272" s="77">
        <v>836680</v>
      </c>
      <c r="G272" s="79">
        <v>46027</v>
      </c>
      <c r="H272">
        <v>5</v>
      </c>
    </row>
    <row r="273" spans="1:8" hidden="1" x14ac:dyDescent="0.25">
      <c r="A273" s="76">
        <v>45988</v>
      </c>
      <c r="B273" s="78">
        <v>2662</v>
      </c>
      <c r="C273" s="78" t="s">
        <v>26</v>
      </c>
      <c r="D273" t="s">
        <v>236</v>
      </c>
      <c r="E273" s="280">
        <v>869800</v>
      </c>
      <c r="F273" s="77">
        <v>869800</v>
      </c>
      <c r="G273" s="79">
        <v>45996</v>
      </c>
      <c r="H273">
        <v>3</v>
      </c>
    </row>
    <row r="274" spans="1:8" hidden="1" x14ac:dyDescent="0.25">
      <c r="A274" s="76">
        <v>45988</v>
      </c>
      <c r="B274" s="78">
        <v>2731</v>
      </c>
      <c r="C274" s="78" t="s">
        <v>26</v>
      </c>
      <c r="D274" t="s">
        <v>278</v>
      </c>
      <c r="E274" s="280">
        <v>1096900</v>
      </c>
      <c r="F274" s="77">
        <v>1096900</v>
      </c>
      <c r="G274" s="79">
        <v>45994</v>
      </c>
      <c r="H274">
        <v>2</v>
      </c>
    </row>
    <row r="275" spans="1:8" hidden="1" x14ac:dyDescent="0.25">
      <c r="A275" s="76">
        <v>45988</v>
      </c>
      <c r="B275" s="78">
        <v>2733</v>
      </c>
      <c r="C275" s="78" t="s">
        <v>26</v>
      </c>
      <c r="D275" t="s">
        <v>281</v>
      </c>
      <c r="E275" s="280">
        <v>1386300</v>
      </c>
      <c r="F275" s="77">
        <v>1386300</v>
      </c>
      <c r="G275" s="79">
        <v>45955</v>
      </c>
      <c r="H275">
        <v>2</v>
      </c>
    </row>
    <row r="276" spans="1:8" x14ac:dyDescent="0.25">
      <c r="A276" s="76">
        <v>45988</v>
      </c>
      <c r="B276" s="78">
        <v>2768</v>
      </c>
      <c r="C276" s="78" t="s">
        <v>26</v>
      </c>
      <c r="D276" t="s">
        <v>295</v>
      </c>
      <c r="E276" s="280">
        <v>537100</v>
      </c>
      <c r="F276" s="77">
        <v>582754</v>
      </c>
      <c r="G276" s="79">
        <v>46073</v>
      </c>
      <c r="H276">
        <v>1</v>
      </c>
    </row>
    <row r="277" spans="1:8" hidden="1" x14ac:dyDescent="0.25">
      <c r="A277" s="76">
        <v>45989</v>
      </c>
      <c r="B277" s="78">
        <v>2234</v>
      </c>
      <c r="C277" s="78" t="s">
        <v>26</v>
      </c>
      <c r="D277" t="s">
        <v>70</v>
      </c>
      <c r="E277" s="280">
        <v>323400</v>
      </c>
      <c r="F277" s="77">
        <v>323400</v>
      </c>
      <c r="G277" s="79">
        <v>45954</v>
      </c>
      <c r="H277">
        <v>9</v>
      </c>
    </row>
    <row r="278" spans="1:8" hidden="1" x14ac:dyDescent="0.25">
      <c r="A278" s="76">
        <v>45989</v>
      </c>
      <c r="B278" s="78">
        <v>2517</v>
      </c>
      <c r="C278" s="78" t="s">
        <v>26</v>
      </c>
      <c r="D278" t="s">
        <v>176</v>
      </c>
      <c r="E278" s="280">
        <v>728700</v>
      </c>
      <c r="F278" s="77">
        <v>728700</v>
      </c>
      <c r="G278" s="79">
        <v>45993</v>
      </c>
      <c r="H278">
        <v>5</v>
      </c>
    </row>
    <row r="279" spans="1:8" hidden="1" x14ac:dyDescent="0.25">
      <c r="A279" s="76">
        <v>45990</v>
      </c>
      <c r="B279" s="78">
        <v>2588</v>
      </c>
      <c r="C279" s="78" t="s">
        <v>26</v>
      </c>
      <c r="D279" t="s">
        <v>201</v>
      </c>
      <c r="E279" s="280">
        <v>792000</v>
      </c>
      <c r="F279" s="77">
        <v>792000</v>
      </c>
      <c r="G279" s="79">
        <v>45976</v>
      </c>
      <c r="H279">
        <v>4</v>
      </c>
    </row>
    <row r="280" spans="1:8" hidden="1" x14ac:dyDescent="0.25">
      <c r="A280" s="76">
        <v>45990</v>
      </c>
      <c r="B280" s="78">
        <v>912</v>
      </c>
      <c r="C280" s="78" t="s">
        <v>240</v>
      </c>
      <c r="D280" t="s">
        <v>241</v>
      </c>
      <c r="E280" s="280">
        <v>605800</v>
      </c>
      <c r="F280" s="77">
        <v>605800</v>
      </c>
      <c r="G280" s="79">
        <v>45989</v>
      </c>
      <c r="H280">
        <v>4</v>
      </c>
    </row>
    <row r="281" spans="1:8" hidden="1" x14ac:dyDescent="0.25">
      <c r="A281" s="76">
        <v>45990</v>
      </c>
      <c r="B281" s="78">
        <v>2777</v>
      </c>
      <c r="C281" s="78" t="s">
        <v>26</v>
      </c>
      <c r="D281" t="s">
        <v>297</v>
      </c>
      <c r="E281" s="280">
        <v>1383100</v>
      </c>
      <c r="F281" s="77">
        <v>1383100</v>
      </c>
      <c r="G281" s="79">
        <v>45992</v>
      </c>
      <c r="H281">
        <v>1</v>
      </c>
    </row>
    <row r="282" spans="1:8" hidden="1" x14ac:dyDescent="0.25">
      <c r="A282" s="76">
        <v>45991</v>
      </c>
      <c r="B282" s="78">
        <v>2597</v>
      </c>
      <c r="C282" s="78" t="s">
        <v>26</v>
      </c>
      <c r="D282" t="s">
        <v>204</v>
      </c>
      <c r="E282" s="280">
        <v>578500</v>
      </c>
      <c r="F282" s="77">
        <v>578500</v>
      </c>
      <c r="G282" s="79">
        <v>45995</v>
      </c>
      <c r="H282">
        <v>4</v>
      </c>
    </row>
    <row r="283" spans="1:8" hidden="1" x14ac:dyDescent="0.25">
      <c r="A283" s="76">
        <v>45991</v>
      </c>
      <c r="B283" s="78">
        <v>2598</v>
      </c>
      <c r="C283" s="78" t="s">
        <v>26</v>
      </c>
      <c r="D283" t="s">
        <v>205</v>
      </c>
      <c r="E283" s="280">
        <v>1681500</v>
      </c>
      <c r="F283" s="77">
        <v>1681500</v>
      </c>
      <c r="G283" s="79">
        <v>45992</v>
      </c>
      <c r="H283">
        <v>4</v>
      </c>
    </row>
    <row r="284" spans="1:8" hidden="1" x14ac:dyDescent="0.25">
      <c r="A284" s="76">
        <v>45991</v>
      </c>
      <c r="B284" s="78">
        <v>2674</v>
      </c>
      <c r="C284" s="78" t="s">
        <v>26</v>
      </c>
      <c r="D284" t="s">
        <v>238</v>
      </c>
      <c r="E284" s="280">
        <v>1080900</v>
      </c>
      <c r="F284" s="77">
        <v>1080900</v>
      </c>
      <c r="G284" s="79">
        <v>45993</v>
      </c>
      <c r="H284">
        <v>3</v>
      </c>
    </row>
    <row r="285" spans="1:8" hidden="1" x14ac:dyDescent="0.25">
      <c r="A285" s="76">
        <v>45992</v>
      </c>
      <c r="B285" s="78">
        <v>2311</v>
      </c>
      <c r="C285" s="78" t="s">
        <v>26</v>
      </c>
      <c r="D285" t="s">
        <v>93</v>
      </c>
      <c r="E285" s="280">
        <v>418100</v>
      </c>
      <c r="F285" s="77">
        <v>418100</v>
      </c>
      <c r="G285" s="79">
        <v>45990</v>
      </c>
      <c r="H285">
        <v>8</v>
      </c>
    </row>
    <row r="286" spans="1:8" hidden="1" x14ac:dyDescent="0.25">
      <c r="A286" s="76">
        <v>45992</v>
      </c>
      <c r="B286" s="78">
        <v>2677</v>
      </c>
      <c r="C286" s="78" t="s">
        <v>26</v>
      </c>
      <c r="D286" t="s">
        <v>255</v>
      </c>
      <c r="E286" s="280">
        <v>1033600</v>
      </c>
      <c r="F286" s="77">
        <v>1033600</v>
      </c>
      <c r="G286" s="79">
        <v>45996</v>
      </c>
      <c r="H286">
        <v>3</v>
      </c>
    </row>
    <row r="287" spans="1:8" hidden="1" x14ac:dyDescent="0.25">
      <c r="A287" s="76">
        <v>45993</v>
      </c>
      <c r="B287" s="78">
        <v>2606</v>
      </c>
      <c r="C287" s="78" t="s">
        <v>26</v>
      </c>
      <c r="D287" t="s">
        <v>225</v>
      </c>
      <c r="E287" s="280">
        <v>1011300</v>
      </c>
      <c r="F287" s="77">
        <v>912174</v>
      </c>
      <c r="G287" s="79">
        <v>45965</v>
      </c>
      <c r="H287">
        <v>4</v>
      </c>
    </row>
    <row r="288" spans="1:8" hidden="1" x14ac:dyDescent="0.25">
      <c r="A288" s="76">
        <v>45994</v>
      </c>
      <c r="B288" s="78">
        <v>2520</v>
      </c>
      <c r="C288" s="78" t="s">
        <v>26</v>
      </c>
      <c r="D288" t="s">
        <v>196</v>
      </c>
      <c r="E288" s="280">
        <v>481700</v>
      </c>
      <c r="F288" s="77">
        <v>481700</v>
      </c>
      <c r="G288" s="79">
        <v>45989</v>
      </c>
      <c r="H288">
        <v>5</v>
      </c>
    </row>
    <row r="289" spans="1:8" hidden="1" x14ac:dyDescent="0.25">
      <c r="A289" s="76">
        <v>45995</v>
      </c>
      <c r="B289" s="78">
        <v>2745</v>
      </c>
      <c r="C289" s="78" t="s">
        <v>26</v>
      </c>
      <c r="D289" t="s">
        <v>285</v>
      </c>
      <c r="E289" s="280">
        <v>1007800</v>
      </c>
      <c r="F289" s="77">
        <v>1007800</v>
      </c>
      <c r="G289" s="79">
        <v>45993</v>
      </c>
      <c r="H289">
        <v>2</v>
      </c>
    </row>
    <row r="290" spans="1:8" hidden="1" x14ac:dyDescent="0.25">
      <c r="A290" s="76">
        <v>45996</v>
      </c>
      <c r="B290" s="78">
        <v>2246</v>
      </c>
      <c r="C290" s="78" t="s">
        <v>26</v>
      </c>
      <c r="D290" t="s">
        <v>82</v>
      </c>
      <c r="E290" s="280">
        <v>636400</v>
      </c>
      <c r="F290" s="77">
        <v>636400</v>
      </c>
      <c r="G290" s="79">
        <v>45997</v>
      </c>
      <c r="H290">
        <v>9</v>
      </c>
    </row>
    <row r="291" spans="1:8" hidden="1" x14ac:dyDescent="0.25">
      <c r="A291" s="76">
        <v>45996</v>
      </c>
      <c r="B291" s="78">
        <v>2382</v>
      </c>
      <c r="C291" s="78" t="s">
        <v>26</v>
      </c>
      <c r="D291" t="s">
        <v>119</v>
      </c>
      <c r="E291" s="280">
        <v>581200</v>
      </c>
      <c r="F291" s="77">
        <v>472779</v>
      </c>
      <c r="G291" s="79">
        <v>45980</v>
      </c>
      <c r="H291">
        <v>7</v>
      </c>
    </row>
    <row r="292" spans="1:8" hidden="1" x14ac:dyDescent="0.25">
      <c r="A292" s="76">
        <v>45996</v>
      </c>
      <c r="B292" s="78">
        <v>2463</v>
      </c>
      <c r="C292" s="78" t="s">
        <v>26</v>
      </c>
      <c r="D292" t="s">
        <v>151</v>
      </c>
      <c r="E292" s="280">
        <v>782600</v>
      </c>
      <c r="F292" s="77">
        <v>782600</v>
      </c>
      <c r="G292" s="79">
        <v>45992</v>
      </c>
      <c r="H292">
        <v>6</v>
      </c>
    </row>
    <row r="293" spans="1:8" hidden="1" x14ac:dyDescent="0.25">
      <c r="A293" s="76">
        <v>45997</v>
      </c>
      <c r="B293" s="78">
        <v>2691</v>
      </c>
      <c r="C293" s="78" t="s">
        <v>26</v>
      </c>
      <c r="D293" t="s">
        <v>257</v>
      </c>
      <c r="E293" s="280">
        <v>1949300</v>
      </c>
      <c r="F293" s="77">
        <v>1949300</v>
      </c>
      <c r="G293" s="79">
        <v>46001</v>
      </c>
      <c r="H293">
        <v>3</v>
      </c>
    </row>
    <row r="294" spans="1:8" hidden="1" x14ac:dyDescent="0.25">
      <c r="A294" s="76">
        <v>45998</v>
      </c>
      <c r="B294" s="78">
        <v>2154</v>
      </c>
      <c r="C294" s="78" t="s">
        <v>26</v>
      </c>
      <c r="D294" t="s">
        <v>63</v>
      </c>
      <c r="E294" s="280">
        <v>672300</v>
      </c>
      <c r="F294" s="77">
        <v>672300</v>
      </c>
      <c r="G294" s="79">
        <v>46001</v>
      </c>
      <c r="H294">
        <v>10</v>
      </c>
    </row>
    <row r="295" spans="1:8" hidden="1" x14ac:dyDescent="0.25">
      <c r="A295" s="76">
        <v>45998</v>
      </c>
      <c r="B295" s="78">
        <v>2249</v>
      </c>
      <c r="C295" s="78" t="s">
        <v>26</v>
      </c>
      <c r="D295" t="s">
        <v>88</v>
      </c>
      <c r="E295" s="280">
        <v>1060500</v>
      </c>
      <c r="F295" s="77">
        <v>1060500</v>
      </c>
      <c r="G295" s="79">
        <v>46004</v>
      </c>
      <c r="H295">
        <v>9</v>
      </c>
    </row>
    <row r="296" spans="1:8" hidden="1" x14ac:dyDescent="0.25">
      <c r="A296" s="76">
        <v>45999</v>
      </c>
      <c r="B296" s="78">
        <v>2255</v>
      </c>
      <c r="C296" s="78" t="s">
        <v>26</v>
      </c>
      <c r="D296" t="s">
        <v>85</v>
      </c>
      <c r="E296" s="280">
        <v>570600</v>
      </c>
      <c r="F296" s="77">
        <v>584865</v>
      </c>
      <c r="G296" s="79">
        <v>46024</v>
      </c>
      <c r="H296">
        <v>9</v>
      </c>
    </row>
    <row r="297" spans="1:8" hidden="1" x14ac:dyDescent="0.25">
      <c r="A297" s="76">
        <v>46000</v>
      </c>
      <c r="B297" s="78">
        <v>2620</v>
      </c>
      <c r="C297" s="78" t="s">
        <v>26</v>
      </c>
      <c r="D297" t="s">
        <v>232</v>
      </c>
      <c r="E297" s="280">
        <v>780600</v>
      </c>
      <c r="F297" s="77">
        <v>794651</v>
      </c>
      <c r="G297" s="79">
        <v>46018</v>
      </c>
      <c r="H297">
        <v>4</v>
      </c>
    </row>
    <row r="298" spans="1:8" hidden="1" x14ac:dyDescent="0.25">
      <c r="A298" s="76">
        <v>46000</v>
      </c>
      <c r="B298" s="78">
        <v>883</v>
      </c>
      <c r="C298" s="78" t="s">
        <v>240</v>
      </c>
      <c r="D298" t="s">
        <v>243</v>
      </c>
      <c r="E298" s="280">
        <v>287300</v>
      </c>
      <c r="F298" s="77">
        <v>287300</v>
      </c>
      <c r="G298" s="79">
        <v>45995</v>
      </c>
      <c r="H298">
        <v>5</v>
      </c>
    </row>
    <row r="299" spans="1:8" hidden="1" x14ac:dyDescent="0.25">
      <c r="A299" s="76">
        <v>46001</v>
      </c>
      <c r="B299" s="78">
        <v>2399</v>
      </c>
      <c r="C299" s="78" t="s">
        <v>26</v>
      </c>
      <c r="D299" t="s">
        <v>121</v>
      </c>
      <c r="E299" s="280">
        <v>564700</v>
      </c>
      <c r="F299" s="77">
        <v>564700</v>
      </c>
      <c r="G299" s="79">
        <v>46001</v>
      </c>
      <c r="H299">
        <v>7</v>
      </c>
    </row>
    <row r="300" spans="1:8" x14ac:dyDescent="0.25">
      <c r="A300" s="76">
        <v>46001</v>
      </c>
      <c r="B300" s="78">
        <v>2473</v>
      </c>
      <c r="C300" s="78" t="s">
        <v>26</v>
      </c>
      <c r="D300" t="s">
        <v>164</v>
      </c>
      <c r="E300" s="280">
        <v>1002083</v>
      </c>
      <c r="H300">
        <v>6</v>
      </c>
    </row>
    <row r="301" spans="1:8" x14ac:dyDescent="0.25">
      <c r="A301" s="76">
        <v>46001</v>
      </c>
      <c r="B301" s="78">
        <v>2698</v>
      </c>
      <c r="C301" s="78" t="s">
        <v>26</v>
      </c>
      <c r="D301" t="s">
        <v>259</v>
      </c>
      <c r="E301" s="280">
        <v>1070800</v>
      </c>
      <c r="H301">
        <v>3</v>
      </c>
    </row>
    <row r="302" spans="1:8" hidden="1" x14ac:dyDescent="0.25">
      <c r="A302" s="76">
        <v>46005</v>
      </c>
      <c r="B302" s="78">
        <v>2405</v>
      </c>
      <c r="C302" s="78" t="s">
        <v>26</v>
      </c>
      <c r="D302" t="s">
        <v>129</v>
      </c>
      <c r="E302" s="280">
        <v>418100</v>
      </c>
      <c r="F302" s="77">
        <v>423535</v>
      </c>
      <c r="G302" s="79">
        <v>46018</v>
      </c>
      <c r="H302">
        <v>7</v>
      </c>
    </row>
    <row r="303" spans="1:8" hidden="1" x14ac:dyDescent="0.25">
      <c r="A303" s="76">
        <v>46007</v>
      </c>
      <c r="B303" s="78">
        <v>2711</v>
      </c>
      <c r="C303" s="78" t="s">
        <v>26</v>
      </c>
      <c r="D303" t="s">
        <v>261</v>
      </c>
      <c r="E303" s="280">
        <v>888800</v>
      </c>
      <c r="F303" s="77">
        <v>888800</v>
      </c>
      <c r="G303" s="79">
        <v>46008</v>
      </c>
      <c r="H303">
        <v>3</v>
      </c>
    </row>
    <row r="304" spans="1:8" hidden="1" x14ac:dyDescent="0.25">
      <c r="A304" s="76">
        <v>46008</v>
      </c>
      <c r="B304" s="78">
        <v>2566</v>
      </c>
      <c r="C304" s="78" t="s">
        <v>26</v>
      </c>
      <c r="D304" t="s">
        <v>200</v>
      </c>
      <c r="E304" s="280">
        <v>790200</v>
      </c>
      <c r="F304" s="77">
        <v>790200</v>
      </c>
      <c r="G304" s="79">
        <v>45904</v>
      </c>
      <c r="H304">
        <v>5</v>
      </c>
    </row>
    <row r="305" spans="1:8" hidden="1" x14ac:dyDescent="0.25">
      <c r="A305" s="76">
        <v>46009</v>
      </c>
      <c r="B305" s="78">
        <v>2493</v>
      </c>
      <c r="C305" s="78" t="s">
        <v>26</v>
      </c>
      <c r="D305" t="s">
        <v>166</v>
      </c>
      <c r="E305" s="280">
        <v>328300</v>
      </c>
      <c r="F305" s="149">
        <v>346357</v>
      </c>
      <c r="G305" s="79">
        <v>46064</v>
      </c>
      <c r="H305">
        <v>6</v>
      </c>
    </row>
    <row r="306" spans="1:8" hidden="1" x14ac:dyDescent="0.25">
      <c r="A306" s="76">
        <v>46010</v>
      </c>
      <c r="B306" s="78">
        <v>2494</v>
      </c>
      <c r="C306" s="78" t="s">
        <v>26</v>
      </c>
      <c r="D306" t="s">
        <v>168</v>
      </c>
      <c r="E306" s="280">
        <v>425600</v>
      </c>
      <c r="F306" s="77">
        <v>425600</v>
      </c>
      <c r="G306" s="79">
        <v>46017</v>
      </c>
      <c r="H306">
        <v>6</v>
      </c>
    </row>
    <row r="307" spans="1:8" hidden="1" x14ac:dyDescent="0.25">
      <c r="A307" s="76">
        <v>46010</v>
      </c>
      <c r="B307" s="78">
        <v>2637</v>
      </c>
      <c r="C307" s="78" t="s">
        <v>26</v>
      </c>
      <c r="D307" t="s">
        <v>221</v>
      </c>
      <c r="E307" s="280">
        <v>663300</v>
      </c>
      <c r="F307" s="77">
        <v>663300</v>
      </c>
      <c r="G307" s="79">
        <v>46017</v>
      </c>
      <c r="H307">
        <v>4</v>
      </c>
    </row>
    <row r="308" spans="1:8" hidden="1" x14ac:dyDescent="0.25">
      <c r="A308" s="76">
        <v>46010</v>
      </c>
      <c r="B308" s="78">
        <v>2810</v>
      </c>
      <c r="C308" s="78" t="s">
        <v>26</v>
      </c>
      <c r="D308" t="s">
        <v>318</v>
      </c>
      <c r="E308" s="280">
        <v>557500</v>
      </c>
      <c r="F308" s="77">
        <v>568093</v>
      </c>
      <c r="G308" s="79">
        <v>46029</v>
      </c>
      <c r="H308">
        <v>1</v>
      </c>
    </row>
    <row r="309" spans="1:8" hidden="1" x14ac:dyDescent="0.25">
      <c r="A309" s="76">
        <v>46011</v>
      </c>
      <c r="B309" s="78">
        <v>2498</v>
      </c>
      <c r="C309" s="78" t="s">
        <v>26</v>
      </c>
      <c r="D309" t="s">
        <v>153</v>
      </c>
      <c r="E309" s="280">
        <v>904200</v>
      </c>
      <c r="F309" s="77">
        <v>904200</v>
      </c>
      <c r="G309" s="79">
        <v>46011</v>
      </c>
      <c r="H309">
        <v>6</v>
      </c>
    </row>
    <row r="310" spans="1:8" hidden="1" x14ac:dyDescent="0.25">
      <c r="A310" s="76">
        <v>46011</v>
      </c>
      <c r="B310" s="78">
        <v>2640</v>
      </c>
      <c r="C310" s="78" t="s">
        <v>26</v>
      </c>
      <c r="D310" t="s">
        <v>234</v>
      </c>
      <c r="E310" s="280">
        <v>789900</v>
      </c>
      <c r="F310" s="77">
        <v>789900</v>
      </c>
      <c r="G310" s="79">
        <v>46014</v>
      </c>
      <c r="H310">
        <v>4</v>
      </c>
    </row>
    <row r="311" spans="1:8" hidden="1" x14ac:dyDescent="0.25">
      <c r="A311" s="76">
        <v>46012</v>
      </c>
      <c r="B311" s="78">
        <v>2344</v>
      </c>
      <c r="C311" s="78" t="s">
        <v>26</v>
      </c>
      <c r="D311" t="s">
        <v>109</v>
      </c>
      <c r="E311" s="280">
        <v>317700</v>
      </c>
      <c r="F311" s="77">
        <v>317700</v>
      </c>
      <c r="G311" s="79">
        <v>46015</v>
      </c>
      <c r="H311">
        <v>8</v>
      </c>
    </row>
    <row r="312" spans="1:8" hidden="1" x14ac:dyDescent="0.25">
      <c r="A312" s="76">
        <v>46012</v>
      </c>
      <c r="B312" s="78">
        <v>2425</v>
      </c>
      <c r="C312" s="78" t="s">
        <v>26</v>
      </c>
      <c r="D312" t="s">
        <v>131</v>
      </c>
      <c r="E312" s="280">
        <v>534800</v>
      </c>
      <c r="F312" s="77">
        <v>547100</v>
      </c>
      <c r="G312" s="79">
        <v>46035</v>
      </c>
      <c r="H312">
        <v>7</v>
      </c>
    </row>
    <row r="313" spans="1:8" hidden="1" x14ac:dyDescent="0.25">
      <c r="A313" s="76">
        <v>46012</v>
      </c>
      <c r="B313" s="78">
        <v>2500</v>
      </c>
      <c r="C313" s="78" t="s">
        <v>26</v>
      </c>
      <c r="D313" t="s">
        <v>155</v>
      </c>
      <c r="E313" s="280">
        <v>600000</v>
      </c>
      <c r="F313" s="77">
        <v>600000</v>
      </c>
      <c r="G313" s="79">
        <v>46011</v>
      </c>
      <c r="H313">
        <v>6</v>
      </c>
    </row>
    <row r="314" spans="1:8" hidden="1" x14ac:dyDescent="0.25">
      <c r="A314" s="76">
        <v>46012</v>
      </c>
      <c r="B314" s="78">
        <v>2501</v>
      </c>
      <c r="C314" s="78" t="s">
        <v>26</v>
      </c>
      <c r="D314" t="s">
        <v>157</v>
      </c>
      <c r="E314" s="280">
        <v>325300</v>
      </c>
      <c r="F314" s="77">
        <v>325300</v>
      </c>
      <c r="G314" s="79">
        <v>46013</v>
      </c>
      <c r="H314">
        <v>6</v>
      </c>
    </row>
    <row r="315" spans="1:8" hidden="1" x14ac:dyDescent="0.25">
      <c r="A315" s="76">
        <v>46012</v>
      </c>
      <c r="B315" s="78">
        <v>2505</v>
      </c>
      <c r="C315" s="78" t="s">
        <v>26</v>
      </c>
      <c r="D315" t="s">
        <v>170</v>
      </c>
      <c r="E315" s="280">
        <v>901600</v>
      </c>
      <c r="F315" s="77">
        <v>901600</v>
      </c>
      <c r="G315" s="79">
        <v>46113</v>
      </c>
      <c r="H315">
        <v>6</v>
      </c>
    </row>
    <row r="316" spans="1:8" hidden="1" x14ac:dyDescent="0.25">
      <c r="A316" s="76">
        <v>46012</v>
      </c>
      <c r="B316" s="78">
        <v>2648</v>
      </c>
      <c r="C316" s="78" t="s">
        <v>26</v>
      </c>
      <c r="D316" t="s">
        <v>91</v>
      </c>
      <c r="E316" s="280">
        <v>1389700</v>
      </c>
      <c r="F316" s="77">
        <v>1389700</v>
      </c>
      <c r="G316" s="79">
        <v>46015</v>
      </c>
      <c r="H316">
        <v>4</v>
      </c>
    </row>
    <row r="317" spans="1:8" hidden="1" x14ac:dyDescent="0.25">
      <c r="A317" s="76">
        <v>46013</v>
      </c>
      <c r="B317" s="78">
        <v>2280</v>
      </c>
      <c r="C317" s="78" t="s">
        <v>26</v>
      </c>
      <c r="D317" t="s">
        <v>98</v>
      </c>
      <c r="E317" s="280">
        <v>433600</v>
      </c>
      <c r="F317" s="77">
        <v>433600</v>
      </c>
      <c r="G317" s="79">
        <v>46020</v>
      </c>
      <c r="H317">
        <v>9</v>
      </c>
    </row>
    <row r="318" spans="1:8" hidden="1" x14ac:dyDescent="0.25">
      <c r="A318" s="76">
        <v>46013</v>
      </c>
      <c r="B318" s="78">
        <v>2282</v>
      </c>
      <c r="C318" s="78" t="s">
        <v>26</v>
      </c>
      <c r="D318" t="s">
        <v>97</v>
      </c>
      <c r="E318" s="280">
        <v>480300</v>
      </c>
      <c r="F318" s="77">
        <v>480300</v>
      </c>
      <c r="G318" s="79">
        <v>46002</v>
      </c>
      <c r="H318">
        <v>9</v>
      </c>
    </row>
    <row r="319" spans="1:8" hidden="1" x14ac:dyDescent="0.25">
      <c r="A319" s="76">
        <v>46013</v>
      </c>
      <c r="B319" s="78">
        <v>2346</v>
      </c>
      <c r="C319" s="78" t="s">
        <v>26</v>
      </c>
      <c r="D319" t="s">
        <v>111</v>
      </c>
      <c r="E319" s="280">
        <v>656200</v>
      </c>
      <c r="F319" s="77">
        <v>656200</v>
      </c>
      <c r="G319" s="79">
        <v>46019</v>
      </c>
      <c r="H319">
        <v>8</v>
      </c>
    </row>
    <row r="320" spans="1:8" hidden="1" x14ac:dyDescent="0.25">
      <c r="A320" s="76">
        <v>46014</v>
      </c>
      <c r="B320" s="78">
        <v>2348</v>
      </c>
      <c r="C320" s="78" t="s">
        <v>26</v>
      </c>
      <c r="D320" t="s">
        <v>113</v>
      </c>
      <c r="E320" s="280">
        <v>393500</v>
      </c>
      <c r="F320" s="77">
        <v>269519</v>
      </c>
      <c r="G320" s="79">
        <v>45891</v>
      </c>
      <c r="H320">
        <v>8</v>
      </c>
    </row>
    <row r="321" spans="1:9" hidden="1" x14ac:dyDescent="0.25">
      <c r="A321" s="76">
        <v>46014</v>
      </c>
      <c r="B321" s="78">
        <v>2721</v>
      </c>
      <c r="C321" s="78" t="s">
        <v>26</v>
      </c>
      <c r="D321" t="s">
        <v>267</v>
      </c>
      <c r="E321" s="280">
        <v>1571700</v>
      </c>
      <c r="F321" s="77">
        <v>1571700</v>
      </c>
      <c r="G321" s="79">
        <v>45931</v>
      </c>
      <c r="H321">
        <v>3</v>
      </c>
    </row>
    <row r="322" spans="1:9" hidden="1" x14ac:dyDescent="0.25">
      <c r="A322" s="76">
        <v>46014</v>
      </c>
      <c r="B322" s="78">
        <v>2722</v>
      </c>
      <c r="C322" s="78" t="s">
        <v>26</v>
      </c>
      <c r="D322" t="s">
        <v>290</v>
      </c>
      <c r="E322" s="280">
        <v>1064400</v>
      </c>
      <c r="F322" s="77">
        <v>1082495</v>
      </c>
      <c r="G322" s="79">
        <v>46031</v>
      </c>
      <c r="H322">
        <v>3</v>
      </c>
    </row>
    <row r="323" spans="1:9" hidden="1" x14ac:dyDescent="0.25">
      <c r="A323" s="76">
        <v>46015</v>
      </c>
      <c r="B323" s="78">
        <v>2205</v>
      </c>
      <c r="C323" s="78" t="s">
        <v>26</v>
      </c>
      <c r="D323" t="s">
        <v>66</v>
      </c>
      <c r="E323" s="280">
        <v>679600</v>
      </c>
      <c r="F323" s="77">
        <v>547250</v>
      </c>
      <c r="G323" s="79">
        <v>45721</v>
      </c>
      <c r="H323">
        <v>10</v>
      </c>
    </row>
    <row r="324" spans="1:9" hidden="1" x14ac:dyDescent="0.25">
      <c r="A324" s="76">
        <v>46015</v>
      </c>
      <c r="B324" s="78">
        <v>2431</v>
      </c>
      <c r="C324" s="78" t="s">
        <v>26</v>
      </c>
      <c r="D324" t="s">
        <v>149</v>
      </c>
      <c r="E324" s="280">
        <v>313900</v>
      </c>
      <c r="F324" s="77">
        <v>313900</v>
      </c>
      <c r="G324" s="79">
        <v>46022</v>
      </c>
      <c r="H324">
        <v>7</v>
      </c>
    </row>
    <row r="325" spans="1:9" hidden="1" x14ac:dyDescent="0.25">
      <c r="A325" s="76">
        <v>46015</v>
      </c>
      <c r="B325" s="78">
        <v>2764</v>
      </c>
      <c r="C325" s="78" t="s">
        <v>26</v>
      </c>
      <c r="D325" t="s">
        <v>299</v>
      </c>
      <c r="E325" s="280">
        <v>1526600</v>
      </c>
      <c r="F325" s="77">
        <v>1526600</v>
      </c>
      <c r="G325" s="79">
        <v>46013</v>
      </c>
      <c r="H325">
        <v>2</v>
      </c>
    </row>
    <row r="326" spans="1:9" ht="15" hidden="1" customHeight="1" x14ac:dyDescent="0.25">
      <c r="A326" s="76">
        <v>46015</v>
      </c>
      <c r="B326" s="78">
        <v>2817</v>
      </c>
      <c r="C326" s="78" t="s">
        <v>26</v>
      </c>
      <c r="D326" t="s">
        <v>320</v>
      </c>
      <c r="E326" s="280">
        <v>841000</v>
      </c>
      <c r="F326" s="149">
        <v>859502</v>
      </c>
      <c r="G326" s="79">
        <v>46122</v>
      </c>
      <c r="H326">
        <v>1</v>
      </c>
      <c r="I326" s="174"/>
    </row>
    <row r="327" spans="1:9" hidden="1" x14ac:dyDescent="0.25">
      <c r="A327" s="76">
        <v>46016</v>
      </c>
      <c r="B327" s="78">
        <v>2511</v>
      </c>
      <c r="C327" s="78" t="s">
        <v>26</v>
      </c>
      <c r="D327" t="s">
        <v>171</v>
      </c>
      <c r="E327" s="280">
        <v>712300</v>
      </c>
      <c r="F327" s="77">
        <v>721560</v>
      </c>
      <c r="G327" s="79">
        <v>46029</v>
      </c>
      <c r="H327">
        <v>6</v>
      </c>
    </row>
    <row r="328" spans="1:9" hidden="1" x14ac:dyDescent="0.25">
      <c r="A328" s="76">
        <v>46016</v>
      </c>
      <c r="B328" s="78">
        <v>2766</v>
      </c>
      <c r="C328" s="78" t="s">
        <v>26</v>
      </c>
      <c r="D328" t="s">
        <v>293</v>
      </c>
      <c r="E328" s="280">
        <v>1061900</v>
      </c>
      <c r="F328" s="77">
        <v>1061900</v>
      </c>
      <c r="G328" s="79">
        <v>45986</v>
      </c>
      <c r="H328">
        <v>2</v>
      </c>
    </row>
    <row r="329" spans="1:9" hidden="1" x14ac:dyDescent="0.25">
      <c r="A329" s="76">
        <v>46016</v>
      </c>
      <c r="B329" s="78">
        <v>2825</v>
      </c>
      <c r="C329" s="78" t="s">
        <v>26</v>
      </c>
      <c r="D329" t="s">
        <v>322</v>
      </c>
      <c r="E329" s="280">
        <v>619100</v>
      </c>
      <c r="F329" s="77">
        <v>619100</v>
      </c>
      <c r="G329" s="79">
        <v>46008</v>
      </c>
      <c r="H329">
        <v>1</v>
      </c>
    </row>
    <row r="330" spans="1:9" hidden="1" x14ac:dyDescent="0.25">
      <c r="A330" s="76">
        <v>46016</v>
      </c>
      <c r="B330" s="78">
        <v>2826</v>
      </c>
      <c r="C330" s="78" t="s">
        <v>26</v>
      </c>
      <c r="D330" t="s">
        <v>324</v>
      </c>
      <c r="E330" s="280">
        <v>1379900</v>
      </c>
      <c r="F330" s="77">
        <v>1379900</v>
      </c>
      <c r="G330" s="79">
        <v>46015</v>
      </c>
      <c r="H330">
        <v>1</v>
      </c>
    </row>
    <row r="331" spans="1:9" hidden="1" x14ac:dyDescent="0.25">
      <c r="A331" s="76">
        <v>46016</v>
      </c>
      <c r="B331" s="78">
        <v>2828</v>
      </c>
      <c r="C331" s="78" t="s">
        <v>26</v>
      </c>
      <c r="D331" t="s">
        <v>309</v>
      </c>
      <c r="E331" s="280">
        <v>441300</v>
      </c>
      <c r="F331" s="77">
        <v>441300</v>
      </c>
      <c r="G331" s="79">
        <v>45995</v>
      </c>
      <c r="H331">
        <v>1</v>
      </c>
    </row>
    <row r="332" spans="1:9" hidden="1" x14ac:dyDescent="0.25">
      <c r="A332" s="76">
        <v>46017</v>
      </c>
      <c r="B332" s="78">
        <v>2290</v>
      </c>
      <c r="C332" s="78" t="s">
        <v>26</v>
      </c>
      <c r="D332" t="s">
        <v>95</v>
      </c>
      <c r="E332" s="280">
        <v>629900</v>
      </c>
      <c r="F332" s="77">
        <v>636829</v>
      </c>
      <c r="G332" s="79">
        <v>46028</v>
      </c>
      <c r="H332">
        <v>9</v>
      </c>
    </row>
    <row r="333" spans="1:9" hidden="1" x14ac:dyDescent="0.25">
      <c r="A333" s="76">
        <v>46017</v>
      </c>
      <c r="B333" s="78">
        <v>2354</v>
      </c>
      <c r="C333" s="78" t="s">
        <v>26</v>
      </c>
      <c r="D333" t="s">
        <v>117</v>
      </c>
      <c r="E333" s="280">
        <v>867300</v>
      </c>
      <c r="F333" s="77">
        <v>867300</v>
      </c>
      <c r="G333" s="79">
        <v>45901</v>
      </c>
      <c r="H333">
        <v>8</v>
      </c>
    </row>
    <row r="334" spans="1:9" hidden="1" x14ac:dyDescent="0.25">
      <c r="A334" s="76">
        <v>46017</v>
      </c>
      <c r="B334" s="78">
        <v>2515</v>
      </c>
      <c r="C334" s="78" t="s">
        <v>26</v>
      </c>
      <c r="D334" t="s">
        <v>174</v>
      </c>
      <c r="E334" s="280">
        <v>804500</v>
      </c>
      <c r="F334" s="77">
        <v>812545</v>
      </c>
      <c r="G334" s="79">
        <v>46027</v>
      </c>
      <c r="H334">
        <v>6</v>
      </c>
    </row>
    <row r="335" spans="1:9" hidden="1" x14ac:dyDescent="0.25">
      <c r="A335" s="76">
        <v>46018</v>
      </c>
      <c r="B335" s="78">
        <v>2662</v>
      </c>
      <c r="C335" s="78" t="s">
        <v>26</v>
      </c>
      <c r="D335" t="s">
        <v>236</v>
      </c>
      <c r="E335" s="280">
        <v>869800</v>
      </c>
      <c r="F335" s="77">
        <v>869800</v>
      </c>
      <c r="G335" s="79">
        <v>46017</v>
      </c>
      <c r="H335">
        <v>4</v>
      </c>
    </row>
    <row r="336" spans="1:9" hidden="1" x14ac:dyDescent="0.25">
      <c r="A336" s="76">
        <v>46018</v>
      </c>
      <c r="B336" s="78">
        <v>2731</v>
      </c>
      <c r="C336" s="78" t="s">
        <v>26</v>
      </c>
      <c r="D336" t="s">
        <v>278</v>
      </c>
      <c r="E336" s="280">
        <v>1096900</v>
      </c>
      <c r="F336" s="77">
        <v>1106772</v>
      </c>
      <c r="G336" s="79">
        <v>46027</v>
      </c>
      <c r="H336">
        <v>3</v>
      </c>
    </row>
    <row r="337" spans="1:8" hidden="1" x14ac:dyDescent="0.25">
      <c r="A337" s="76">
        <v>46018</v>
      </c>
      <c r="B337" s="78">
        <v>2733</v>
      </c>
      <c r="C337" s="78" t="s">
        <v>26</v>
      </c>
      <c r="D337" t="s">
        <v>281</v>
      </c>
      <c r="E337" s="280">
        <v>1386300</v>
      </c>
      <c r="F337" s="77">
        <v>1386300</v>
      </c>
      <c r="G337" s="79">
        <v>45993</v>
      </c>
      <c r="H337">
        <v>3</v>
      </c>
    </row>
    <row r="338" spans="1:8" hidden="1" x14ac:dyDescent="0.25">
      <c r="A338" s="76">
        <v>46018</v>
      </c>
      <c r="B338" s="78">
        <v>2768</v>
      </c>
      <c r="C338" s="78" t="s">
        <v>26</v>
      </c>
      <c r="D338" t="s">
        <v>295</v>
      </c>
      <c r="E338" s="280">
        <v>537100</v>
      </c>
      <c r="F338" s="77">
        <v>566641</v>
      </c>
      <c r="G338" s="79">
        <v>46073</v>
      </c>
      <c r="H338">
        <v>2</v>
      </c>
    </row>
    <row r="339" spans="1:8" hidden="1" x14ac:dyDescent="0.25">
      <c r="A339" s="76">
        <v>46019</v>
      </c>
      <c r="B339" s="78">
        <v>2234</v>
      </c>
      <c r="C339" s="78" t="s">
        <v>26</v>
      </c>
      <c r="D339" t="s">
        <v>70</v>
      </c>
      <c r="E339" s="280">
        <v>323400</v>
      </c>
      <c r="F339" s="77">
        <v>323400</v>
      </c>
      <c r="G339" s="79">
        <v>45994</v>
      </c>
      <c r="H339">
        <v>10</v>
      </c>
    </row>
    <row r="340" spans="1:8" hidden="1" x14ac:dyDescent="0.25">
      <c r="A340" s="76">
        <v>46019</v>
      </c>
      <c r="B340" s="78">
        <v>2517</v>
      </c>
      <c r="C340" s="78" t="s">
        <v>26</v>
      </c>
      <c r="D340" t="s">
        <v>176</v>
      </c>
      <c r="E340" s="280">
        <v>728700</v>
      </c>
      <c r="F340" s="77">
        <v>728700</v>
      </c>
      <c r="G340" s="79">
        <v>46021</v>
      </c>
      <c r="H340">
        <v>6</v>
      </c>
    </row>
    <row r="341" spans="1:8" hidden="1" x14ac:dyDescent="0.25">
      <c r="A341" s="76">
        <v>46020</v>
      </c>
      <c r="B341" s="78">
        <v>2588</v>
      </c>
      <c r="C341" s="78" t="s">
        <v>26</v>
      </c>
      <c r="D341" t="s">
        <v>201</v>
      </c>
      <c r="E341" s="280">
        <v>792000</v>
      </c>
      <c r="F341" s="77">
        <v>489291</v>
      </c>
      <c r="G341" s="79">
        <v>45976</v>
      </c>
      <c r="H341">
        <v>5</v>
      </c>
    </row>
    <row r="342" spans="1:8" hidden="1" x14ac:dyDescent="0.25">
      <c r="A342" s="76">
        <v>46020</v>
      </c>
      <c r="B342" s="78">
        <v>912</v>
      </c>
      <c r="C342" s="78" t="s">
        <v>240</v>
      </c>
      <c r="D342" t="s">
        <v>241</v>
      </c>
      <c r="E342" s="280">
        <v>605800</v>
      </c>
      <c r="F342" s="77">
        <v>374238</v>
      </c>
      <c r="G342" s="79">
        <v>45996</v>
      </c>
      <c r="H342">
        <v>5</v>
      </c>
    </row>
    <row r="343" spans="1:8" hidden="1" x14ac:dyDescent="0.25">
      <c r="A343" s="76">
        <v>46020</v>
      </c>
      <c r="B343" s="78">
        <v>2777</v>
      </c>
      <c r="C343" s="78" t="s">
        <v>26</v>
      </c>
      <c r="D343" t="s">
        <v>297</v>
      </c>
      <c r="E343" s="280">
        <v>1383100</v>
      </c>
      <c r="F343" s="77">
        <v>1383100</v>
      </c>
      <c r="G343" s="79">
        <v>46024</v>
      </c>
      <c r="H343">
        <v>2</v>
      </c>
    </row>
    <row r="344" spans="1:8" hidden="1" x14ac:dyDescent="0.25">
      <c r="A344" s="76">
        <v>46020</v>
      </c>
      <c r="B344" s="78">
        <v>2835</v>
      </c>
      <c r="C344" s="78" t="s">
        <v>26</v>
      </c>
      <c r="D344" t="s">
        <v>326</v>
      </c>
      <c r="E344" s="280">
        <v>1379900</v>
      </c>
      <c r="F344" s="77">
        <v>1379900</v>
      </c>
      <c r="G344" s="79">
        <v>46008</v>
      </c>
      <c r="H344">
        <v>1</v>
      </c>
    </row>
    <row r="345" spans="1:8" hidden="1" x14ac:dyDescent="0.25">
      <c r="A345" s="76">
        <v>46021</v>
      </c>
      <c r="B345" s="78">
        <v>2674</v>
      </c>
      <c r="C345" s="78" t="s">
        <v>26</v>
      </c>
      <c r="D345" t="s">
        <v>238</v>
      </c>
      <c r="E345" s="280">
        <v>1080900</v>
      </c>
      <c r="F345" s="77">
        <v>1080900</v>
      </c>
      <c r="G345" s="79">
        <v>46027</v>
      </c>
      <c r="H345">
        <v>4</v>
      </c>
    </row>
    <row r="346" spans="1:8" hidden="1" x14ac:dyDescent="0.25">
      <c r="A346" s="76">
        <v>46022</v>
      </c>
      <c r="B346" s="78">
        <v>2597</v>
      </c>
      <c r="C346" s="78" t="s">
        <v>26</v>
      </c>
      <c r="D346" t="s">
        <v>204</v>
      </c>
      <c r="E346" s="280">
        <v>578500</v>
      </c>
      <c r="F346" s="77">
        <v>578500</v>
      </c>
      <c r="G346" s="79">
        <v>46024</v>
      </c>
      <c r="H346">
        <v>5</v>
      </c>
    </row>
    <row r="347" spans="1:8" hidden="1" x14ac:dyDescent="0.25">
      <c r="A347" s="76">
        <v>46022</v>
      </c>
      <c r="B347" s="78">
        <v>2598</v>
      </c>
      <c r="C347" s="78" t="s">
        <v>26</v>
      </c>
      <c r="D347" t="s">
        <v>205</v>
      </c>
      <c r="E347" s="280">
        <v>1681500</v>
      </c>
      <c r="F347" s="77">
        <v>1681500</v>
      </c>
      <c r="G347" s="79">
        <v>46024</v>
      </c>
      <c r="H347">
        <v>5</v>
      </c>
    </row>
    <row r="348" spans="1:8" hidden="1" x14ac:dyDescent="0.25">
      <c r="A348" s="76">
        <v>46023</v>
      </c>
      <c r="B348" s="78">
        <v>2311</v>
      </c>
      <c r="C348" s="78" t="s">
        <v>26</v>
      </c>
      <c r="D348" t="s">
        <v>93</v>
      </c>
      <c r="E348" s="280">
        <v>418100</v>
      </c>
      <c r="F348" s="77">
        <v>418100</v>
      </c>
      <c r="G348" s="79">
        <v>46013</v>
      </c>
      <c r="H348">
        <v>9</v>
      </c>
    </row>
    <row r="349" spans="1:8" hidden="1" x14ac:dyDescent="0.25">
      <c r="A349" s="76">
        <v>46023</v>
      </c>
      <c r="B349" s="78">
        <v>2677</v>
      </c>
      <c r="C349" s="78" t="s">
        <v>26</v>
      </c>
      <c r="D349" t="s">
        <v>255</v>
      </c>
      <c r="E349" s="280">
        <v>1033600</v>
      </c>
      <c r="F349" s="77">
        <v>1047037</v>
      </c>
      <c r="G349" s="79">
        <v>46036</v>
      </c>
      <c r="H349">
        <v>4</v>
      </c>
    </row>
    <row r="350" spans="1:8" hidden="1" x14ac:dyDescent="0.25">
      <c r="A350" s="76">
        <v>46023</v>
      </c>
      <c r="B350" s="78">
        <v>2839</v>
      </c>
      <c r="C350" s="78" t="s">
        <v>26</v>
      </c>
      <c r="D350" t="s">
        <v>328</v>
      </c>
      <c r="E350" s="280">
        <v>1376500</v>
      </c>
      <c r="F350" s="77">
        <v>1376500</v>
      </c>
      <c r="G350" s="79">
        <v>46030</v>
      </c>
      <c r="H350">
        <v>1</v>
      </c>
    </row>
    <row r="351" spans="1:8" hidden="1" x14ac:dyDescent="0.25">
      <c r="A351" s="76">
        <v>46023</v>
      </c>
      <c r="B351" s="78">
        <v>1047</v>
      </c>
      <c r="C351" s="78" t="s">
        <v>240</v>
      </c>
      <c r="D351" t="s">
        <v>346</v>
      </c>
      <c r="E351" s="280">
        <v>1360600</v>
      </c>
      <c r="F351" s="77">
        <v>1360600</v>
      </c>
      <c r="G351" s="79">
        <v>46020</v>
      </c>
      <c r="H351">
        <v>1</v>
      </c>
    </row>
    <row r="352" spans="1:8" hidden="1" x14ac:dyDescent="0.25">
      <c r="A352" s="76">
        <v>46024</v>
      </c>
      <c r="B352" s="78">
        <v>2606</v>
      </c>
      <c r="C352" s="78" t="s">
        <v>26</v>
      </c>
      <c r="D352" t="s">
        <v>225</v>
      </c>
      <c r="E352" s="280">
        <v>1011300</v>
      </c>
      <c r="F352" s="77">
        <v>944100</v>
      </c>
      <c r="G352" s="79">
        <v>45965</v>
      </c>
      <c r="H352">
        <v>5</v>
      </c>
    </row>
    <row r="353" spans="1:8" hidden="1" x14ac:dyDescent="0.25">
      <c r="A353" s="76">
        <v>46025</v>
      </c>
      <c r="B353" s="78">
        <v>2520</v>
      </c>
      <c r="C353" s="78" t="s">
        <v>26</v>
      </c>
      <c r="D353" t="s">
        <v>196</v>
      </c>
      <c r="E353" s="280">
        <v>481700</v>
      </c>
      <c r="F353" s="77">
        <v>481700</v>
      </c>
      <c r="G353" s="79">
        <v>46025</v>
      </c>
      <c r="H353">
        <v>6</v>
      </c>
    </row>
    <row r="354" spans="1:8" hidden="1" x14ac:dyDescent="0.25">
      <c r="A354" s="76">
        <v>46025</v>
      </c>
      <c r="B354" s="78">
        <v>2847</v>
      </c>
      <c r="C354" s="78" t="s">
        <v>26</v>
      </c>
      <c r="D354" t="s">
        <v>330</v>
      </c>
      <c r="E354" s="280">
        <v>419300</v>
      </c>
      <c r="F354" s="77">
        <v>419300</v>
      </c>
      <c r="G354" s="79">
        <v>46024</v>
      </c>
      <c r="H354">
        <v>1</v>
      </c>
    </row>
    <row r="355" spans="1:8" hidden="1" x14ac:dyDescent="0.25">
      <c r="A355" s="76">
        <v>46025</v>
      </c>
      <c r="B355" s="78">
        <v>1054</v>
      </c>
      <c r="C355" s="78" t="s">
        <v>240</v>
      </c>
      <c r="D355" t="s">
        <v>348</v>
      </c>
      <c r="E355" s="280">
        <v>1360600</v>
      </c>
      <c r="F355" s="77">
        <v>1360600</v>
      </c>
      <c r="G355" s="79">
        <v>46015</v>
      </c>
      <c r="H355">
        <v>1</v>
      </c>
    </row>
    <row r="356" spans="1:8" hidden="1" x14ac:dyDescent="0.25">
      <c r="A356" s="76">
        <v>46026</v>
      </c>
      <c r="B356" s="78">
        <v>2745</v>
      </c>
      <c r="C356" s="78" t="s">
        <v>26</v>
      </c>
      <c r="D356" t="s">
        <v>285</v>
      </c>
      <c r="E356" s="280">
        <v>1007800</v>
      </c>
      <c r="F356" s="77">
        <v>1007800</v>
      </c>
      <c r="G356" s="79">
        <v>46024</v>
      </c>
      <c r="H356">
        <v>3</v>
      </c>
    </row>
    <row r="357" spans="1:8" hidden="1" x14ac:dyDescent="0.25">
      <c r="A357" s="76">
        <v>46026</v>
      </c>
      <c r="B357" s="78">
        <v>2849</v>
      </c>
      <c r="C357" s="78" t="s">
        <v>26</v>
      </c>
      <c r="D357" t="s">
        <v>334</v>
      </c>
      <c r="E357" s="280">
        <v>365300</v>
      </c>
      <c r="F357" s="77">
        <v>365300</v>
      </c>
      <c r="G357" s="79">
        <v>46020</v>
      </c>
      <c r="H357">
        <v>1</v>
      </c>
    </row>
    <row r="358" spans="1:8" hidden="1" x14ac:dyDescent="0.25">
      <c r="A358" s="76">
        <v>46026</v>
      </c>
      <c r="B358" s="78">
        <v>2850</v>
      </c>
      <c r="C358" s="78" t="s">
        <v>26</v>
      </c>
      <c r="D358" t="s">
        <v>332</v>
      </c>
      <c r="E358" s="280">
        <v>615100</v>
      </c>
      <c r="F358" s="77">
        <v>620636</v>
      </c>
      <c r="G358" s="79">
        <v>46035</v>
      </c>
      <c r="H358">
        <v>1</v>
      </c>
    </row>
    <row r="359" spans="1:8" hidden="1" x14ac:dyDescent="0.25">
      <c r="A359" s="76">
        <v>46027</v>
      </c>
      <c r="B359" s="78">
        <v>2246</v>
      </c>
      <c r="C359" s="78" t="s">
        <v>26</v>
      </c>
      <c r="D359" t="s">
        <v>82</v>
      </c>
      <c r="E359" s="280">
        <v>636400</v>
      </c>
      <c r="F359" s="77">
        <v>636400</v>
      </c>
      <c r="G359" s="79">
        <v>46027</v>
      </c>
      <c r="H359">
        <v>10</v>
      </c>
    </row>
    <row r="360" spans="1:8" hidden="1" x14ac:dyDescent="0.25">
      <c r="A360" s="76">
        <v>46027</v>
      </c>
      <c r="B360" s="78">
        <v>2382</v>
      </c>
      <c r="C360" s="78" t="s">
        <v>26</v>
      </c>
      <c r="D360" t="s">
        <v>119</v>
      </c>
      <c r="E360" s="280">
        <v>581200</v>
      </c>
      <c r="F360" s="77">
        <v>489326</v>
      </c>
      <c r="G360" s="79">
        <v>45980</v>
      </c>
      <c r="H360">
        <v>8</v>
      </c>
    </row>
    <row r="361" spans="1:8" hidden="1" x14ac:dyDescent="0.25">
      <c r="A361" s="76">
        <v>46027</v>
      </c>
      <c r="B361" s="78">
        <v>2463</v>
      </c>
      <c r="C361" s="78" t="s">
        <v>26</v>
      </c>
      <c r="D361" t="s">
        <v>151</v>
      </c>
      <c r="E361" s="280">
        <v>782600</v>
      </c>
      <c r="F361" s="77">
        <v>790426</v>
      </c>
      <c r="G361" s="79">
        <v>46037</v>
      </c>
      <c r="H361">
        <v>7</v>
      </c>
    </row>
    <row r="362" spans="1:8" hidden="1" x14ac:dyDescent="0.25">
      <c r="A362" s="76">
        <v>46028</v>
      </c>
      <c r="B362" s="78">
        <v>2691</v>
      </c>
      <c r="C362" s="78" t="s">
        <v>26</v>
      </c>
      <c r="D362" t="s">
        <v>257</v>
      </c>
      <c r="E362" s="280">
        <v>1949300</v>
      </c>
      <c r="F362" s="77">
        <v>1968793</v>
      </c>
      <c r="G362" s="79">
        <v>46038</v>
      </c>
      <c r="H362">
        <v>4</v>
      </c>
    </row>
    <row r="363" spans="1:8" hidden="1" x14ac:dyDescent="0.25">
      <c r="A363" s="76">
        <v>46028</v>
      </c>
      <c r="B363" s="78">
        <v>2858</v>
      </c>
      <c r="C363" s="78" t="s">
        <v>26</v>
      </c>
      <c r="D363" t="s">
        <v>336</v>
      </c>
      <c r="E363" s="280">
        <v>779300</v>
      </c>
      <c r="F363" s="77">
        <v>779300</v>
      </c>
      <c r="G363" s="79">
        <v>46025</v>
      </c>
      <c r="H363">
        <v>1</v>
      </c>
    </row>
    <row r="364" spans="1:8" hidden="1" x14ac:dyDescent="0.25">
      <c r="A364" s="76">
        <v>46029</v>
      </c>
      <c r="B364" s="78">
        <v>2154</v>
      </c>
      <c r="C364" s="78" t="s">
        <v>26</v>
      </c>
      <c r="D364" t="s">
        <v>63</v>
      </c>
      <c r="E364" s="280">
        <v>672300</v>
      </c>
      <c r="F364" s="77">
        <v>672300</v>
      </c>
      <c r="G364" s="79">
        <v>46032</v>
      </c>
      <c r="H364">
        <v>11</v>
      </c>
    </row>
    <row r="365" spans="1:8" hidden="1" x14ac:dyDescent="0.25">
      <c r="A365" s="76">
        <v>46029</v>
      </c>
      <c r="B365" s="78">
        <v>2249</v>
      </c>
      <c r="C365" s="78" t="s">
        <v>26</v>
      </c>
      <c r="D365" t="s">
        <v>88</v>
      </c>
      <c r="E365" s="280">
        <v>1060500</v>
      </c>
      <c r="F365" s="77">
        <v>1071105</v>
      </c>
      <c r="G365" s="79">
        <v>46039</v>
      </c>
      <c r="H365">
        <v>10</v>
      </c>
    </row>
    <row r="366" spans="1:8" hidden="1" x14ac:dyDescent="0.25">
      <c r="A366" s="76">
        <v>46030</v>
      </c>
      <c r="B366" s="78">
        <v>2255</v>
      </c>
      <c r="C366" s="78" t="s">
        <v>26</v>
      </c>
      <c r="D366" t="s">
        <v>85</v>
      </c>
      <c r="E366" s="280">
        <v>570600</v>
      </c>
      <c r="F366" s="149">
        <v>592853</v>
      </c>
      <c r="G366" s="79">
        <v>46069</v>
      </c>
      <c r="H366">
        <v>10</v>
      </c>
    </row>
    <row r="367" spans="1:8" hidden="1" x14ac:dyDescent="0.25">
      <c r="A367" s="76">
        <v>46030</v>
      </c>
      <c r="B367" s="78">
        <v>2860</v>
      </c>
      <c r="C367" s="78" t="s">
        <v>26</v>
      </c>
      <c r="D367" t="s">
        <v>338</v>
      </c>
      <c r="E367" s="280">
        <v>1218500</v>
      </c>
      <c r="F367" s="77">
        <v>1218500</v>
      </c>
      <c r="G367" s="79">
        <v>46037</v>
      </c>
      <c r="H367">
        <v>1</v>
      </c>
    </row>
    <row r="368" spans="1:8" hidden="1" x14ac:dyDescent="0.25">
      <c r="A368" s="76">
        <v>46031</v>
      </c>
      <c r="B368" s="78">
        <v>2620</v>
      </c>
      <c r="C368" s="78" t="s">
        <v>26</v>
      </c>
      <c r="D368" t="s">
        <v>232</v>
      </c>
      <c r="E368" s="280">
        <v>780600</v>
      </c>
      <c r="F368" s="77">
        <v>780600</v>
      </c>
      <c r="G368" s="79">
        <v>46032</v>
      </c>
      <c r="H368">
        <v>5</v>
      </c>
    </row>
    <row r="369" spans="1:8" hidden="1" x14ac:dyDescent="0.25">
      <c r="A369" s="76">
        <v>46031</v>
      </c>
      <c r="B369" s="78">
        <v>883</v>
      </c>
      <c r="C369" s="78" t="s">
        <v>240</v>
      </c>
      <c r="D369" t="s">
        <v>243</v>
      </c>
      <c r="E369" s="280">
        <v>287300</v>
      </c>
      <c r="F369" s="77">
        <v>287300</v>
      </c>
      <c r="G369" s="79">
        <v>46031</v>
      </c>
      <c r="H369">
        <v>6</v>
      </c>
    </row>
    <row r="370" spans="1:8" hidden="1" x14ac:dyDescent="0.25">
      <c r="A370" s="76">
        <v>46031</v>
      </c>
      <c r="B370" s="78">
        <v>2861</v>
      </c>
      <c r="C370" s="78" t="s">
        <v>26</v>
      </c>
      <c r="D370" t="s">
        <v>340</v>
      </c>
      <c r="E370" s="280">
        <v>308200</v>
      </c>
      <c r="F370" s="77">
        <v>308200</v>
      </c>
      <c r="G370" s="79">
        <v>46030</v>
      </c>
      <c r="H370">
        <v>1</v>
      </c>
    </row>
    <row r="371" spans="1:8" hidden="1" x14ac:dyDescent="0.25">
      <c r="A371" s="76">
        <v>46031</v>
      </c>
      <c r="B371" s="78">
        <v>1059</v>
      </c>
      <c r="C371" s="78" t="s">
        <v>240</v>
      </c>
      <c r="D371" t="s">
        <v>350</v>
      </c>
      <c r="E371" s="280">
        <v>1313700</v>
      </c>
      <c r="F371" s="77">
        <v>1313700</v>
      </c>
      <c r="G371" s="79">
        <v>46000</v>
      </c>
      <c r="H371">
        <v>1</v>
      </c>
    </row>
    <row r="372" spans="1:8" hidden="1" x14ac:dyDescent="0.25">
      <c r="A372" s="76">
        <v>46032</v>
      </c>
      <c r="B372" s="78">
        <v>2399</v>
      </c>
      <c r="C372" s="78" t="s">
        <v>26</v>
      </c>
      <c r="D372" t="s">
        <v>121</v>
      </c>
      <c r="E372" s="280">
        <v>564700</v>
      </c>
      <c r="F372" s="77">
        <v>564700</v>
      </c>
      <c r="G372" s="79">
        <v>46032</v>
      </c>
      <c r="H372">
        <v>8</v>
      </c>
    </row>
    <row r="373" spans="1:8" x14ac:dyDescent="0.25">
      <c r="A373" s="76">
        <v>46032</v>
      </c>
      <c r="B373" s="78">
        <v>2473</v>
      </c>
      <c r="C373" s="78" t="s">
        <v>26</v>
      </c>
      <c r="D373" t="s">
        <v>164</v>
      </c>
      <c r="E373" s="280">
        <v>1002083</v>
      </c>
      <c r="H373">
        <v>7</v>
      </c>
    </row>
    <row r="374" spans="1:8" hidden="1" x14ac:dyDescent="0.25">
      <c r="A374" s="76">
        <v>46032</v>
      </c>
      <c r="B374" s="78">
        <v>2864</v>
      </c>
      <c r="C374" s="78" t="s">
        <v>26</v>
      </c>
      <c r="D374" t="s">
        <v>344</v>
      </c>
      <c r="E374" s="280">
        <v>1376500</v>
      </c>
      <c r="F374" s="77">
        <v>1376500</v>
      </c>
      <c r="G374" s="79">
        <v>46032</v>
      </c>
      <c r="H374">
        <v>1</v>
      </c>
    </row>
    <row r="375" spans="1:8" hidden="1" x14ac:dyDescent="0.25">
      <c r="A375" s="76">
        <v>46036</v>
      </c>
      <c r="B375" s="78">
        <v>2405</v>
      </c>
      <c r="C375" s="78" t="s">
        <v>26</v>
      </c>
      <c r="D375" t="s">
        <v>129</v>
      </c>
      <c r="E375" s="280">
        <v>418100</v>
      </c>
      <c r="F375" s="77">
        <v>418100</v>
      </c>
      <c r="G375" s="79">
        <v>46037</v>
      </c>
      <c r="H375">
        <v>8</v>
      </c>
    </row>
    <row r="376" spans="1:8" hidden="1" x14ac:dyDescent="0.25">
      <c r="A376" s="76">
        <v>46038</v>
      </c>
      <c r="B376" s="78">
        <v>2878</v>
      </c>
      <c r="C376" s="78" t="s">
        <v>26</v>
      </c>
      <c r="D376" t="s">
        <v>361</v>
      </c>
      <c r="E376" s="280">
        <v>965900</v>
      </c>
      <c r="F376" s="77">
        <v>965900</v>
      </c>
      <c r="G376" s="79">
        <v>46042</v>
      </c>
      <c r="H376">
        <v>1</v>
      </c>
    </row>
    <row r="377" spans="1:8" hidden="1" x14ac:dyDescent="0.25">
      <c r="A377" s="76">
        <v>46039</v>
      </c>
      <c r="B377" s="78">
        <v>2566</v>
      </c>
      <c r="C377" s="78" t="s">
        <v>26</v>
      </c>
      <c r="D377" t="s">
        <v>200</v>
      </c>
      <c r="E377" s="280">
        <v>790200</v>
      </c>
      <c r="F377" s="77">
        <v>790200</v>
      </c>
      <c r="G377" s="79">
        <v>45904</v>
      </c>
      <c r="H377">
        <v>6</v>
      </c>
    </row>
    <row r="378" spans="1:8" hidden="1" x14ac:dyDescent="0.25">
      <c r="A378" s="76">
        <v>46040</v>
      </c>
      <c r="B378" s="78">
        <v>2493</v>
      </c>
      <c r="C378" s="78" t="s">
        <v>26</v>
      </c>
      <c r="D378" t="s">
        <v>166</v>
      </c>
      <c r="E378" s="280">
        <v>328300</v>
      </c>
      <c r="F378" s="149">
        <v>336179</v>
      </c>
      <c r="G378" s="79">
        <v>46064</v>
      </c>
      <c r="H378">
        <v>7</v>
      </c>
    </row>
    <row r="379" spans="1:8" hidden="1" x14ac:dyDescent="0.25">
      <c r="A379" s="76">
        <v>46041</v>
      </c>
      <c r="B379" s="78">
        <v>2494</v>
      </c>
      <c r="C379" s="78" t="s">
        <v>26</v>
      </c>
      <c r="D379" t="s">
        <v>168</v>
      </c>
      <c r="E379" s="280">
        <v>425600</v>
      </c>
      <c r="F379" s="77">
        <v>425600</v>
      </c>
      <c r="G379" s="79">
        <v>46039</v>
      </c>
      <c r="H379">
        <v>7</v>
      </c>
    </row>
    <row r="380" spans="1:8" hidden="1" x14ac:dyDescent="0.25">
      <c r="A380" s="76">
        <v>46041</v>
      </c>
      <c r="B380" s="78">
        <v>2637</v>
      </c>
      <c r="C380" s="78" t="s">
        <v>26</v>
      </c>
      <c r="D380" t="s">
        <v>221</v>
      </c>
      <c r="E380" s="280">
        <v>663300</v>
      </c>
      <c r="F380" s="149">
        <v>673250</v>
      </c>
      <c r="G380" s="79">
        <v>46056</v>
      </c>
      <c r="H380">
        <v>5</v>
      </c>
    </row>
    <row r="381" spans="1:8" hidden="1" x14ac:dyDescent="0.25">
      <c r="A381" s="76">
        <v>46041</v>
      </c>
      <c r="B381" s="78">
        <v>2810</v>
      </c>
      <c r="C381" s="78" t="s">
        <v>26</v>
      </c>
      <c r="D381" t="s">
        <v>318</v>
      </c>
      <c r="E381" s="280">
        <v>557500</v>
      </c>
      <c r="F381" s="77">
        <v>575340</v>
      </c>
      <c r="G381" s="79">
        <v>46073</v>
      </c>
      <c r="H381">
        <v>2</v>
      </c>
    </row>
    <row r="382" spans="1:8" hidden="1" x14ac:dyDescent="0.25">
      <c r="A382" s="76">
        <v>46042</v>
      </c>
      <c r="B382" s="78">
        <v>2498</v>
      </c>
      <c r="C382" s="78" t="s">
        <v>26</v>
      </c>
      <c r="D382" t="s">
        <v>153</v>
      </c>
      <c r="E382" s="280">
        <v>904200</v>
      </c>
      <c r="F382" s="77">
        <v>904200</v>
      </c>
      <c r="G382" s="79">
        <v>46042</v>
      </c>
      <c r="H382">
        <v>7</v>
      </c>
    </row>
    <row r="383" spans="1:8" hidden="1" x14ac:dyDescent="0.25">
      <c r="A383" s="76">
        <v>46042</v>
      </c>
      <c r="B383" s="78">
        <v>2640</v>
      </c>
      <c r="C383" s="78" t="s">
        <v>26</v>
      </c>
      <c r="D383" t="s">
        <v>234</v>
      </c>
      <c r="E383" s="280">
        <v>789900</v>
      </c>
      <c r="F383" s="77">
        <v>789900</v>
      </c>
      <c r="G383" s="79">
        <v>46043</v>
      </c>
      <c r="H383">
        <v>5</v>
      </c>
    </row>
    <row r="384" spans="1:8" hidden="1" x14ac:dyDescent="0.25">
      <c r="A384" s="76">
        <v>46043</v>
      </c>
      <c r="B384" s="78">
        <v>2344</v>
      </c>
      <c r="C384" s="78" t="s">
        <v>26</v>
      </c>
      <c r="D384" t="s">
        <v>109</v>
      </c>
      <c r="E384" s="280">
        <v>317700</v>
      </c>
      <c r="F384" s="77">
        <v>317700</v>
      </c>
      <c r="G384" s="79">
        <v>46048</v>
      </c>
      <c r="H384">
        <v>9</v>
      </c>
    </row>
    <row r="385" spans="1:8" hidden="1" x14ac:dyDescent="0.25">
      <c r="A385" s="76">
        <v>46043</v>
      </c>
      <c r="B385" s="78">
        <v>2425</v>
      </c>
      <c r="C385" s="78" t="s">
        <v>26</v>
      </c>
      <c r="D385" t="s">
        <v>131</v>
      </c>
      <c r="E385" s="280">
        <v>534800</v>
      </c>
      <c r="F385" s="77">
        <v>534800</v>
      </c>
      <c r="G385" s="79">
        <v>46039</v>
      </c>
      <c r="H385">
        <v>8</v>
      </c>
    </row>
    <row r="386" spans="1:8" hidden="1" x14ac:dyDescent="0.25">
      <c r="A386" s="76">
        <v>46043</v>
      </c>
      <c r="B386" s="78">
        <v>2500</v>
      </c>
      <c r="C386" s="78" t="s">
        <v>26</v>
      </c>
      <c r="D386" t="s">
        <v>155</v>
      </c>
      <c r="E386" s="280">
        <v>600000</v>
      </c>
      <c r="F386" s="77">
        <v>600000</v>
      </c>
      <c r="G386" s="79">
        <v>46044</v>
      </c>
      <c r="H386">
        <v>7</v>
      </c>
    </row>
    <row r="387" spans="1:8" hidden="1" x14ac:dyDescent="0.25">
      <c r="A387" s="76">
        <v>46043</v>
      </c>
      <c r="B387" s="78">
        <v>2501</v>
      </c>
      <c r="C387" s="78" t="s">
        <v>26</v>
      </c>
      <c r="D387" t="s">
        <v>157</v>
      </c>
      <c r="E387" s="280">
        <v>325300</v>
      </c>
      <c r="F387" s="77">
        <v>325300</v>
      </c>
      <c r="G387" s="79">
        <v>46035</v>
      </c>
      <c r="H387">
        <v>7</v>
      </c>
    </row>
    <row r="388" spans="1:8" hidden="1" x14ac:dyDescent="0.25">
      <c r="A388" s="76">
        <v>46043</v>
      </c>
      <c r="B388" s="78">
        <v>2505</v>
      </c>
      <c r="C388" s="78" t="s">
        <v>26</v>
      </c>
      <c r="D388" t="s">
        <v>170</v>
      </c>
      <c r="E388" s="280">
        <v>901600</v>
      </c>
      <c r="F388" s="77">
        <v>901600</v>
      </c>
      <c r="G388" s="79">
        <v>46113</v>
      </c>
      <c r="H388">
        <v>7</v>
      </c>
    </row>
    <row r="389" spans="1:8" hidden="1" x14ac:dyDescent="0.25">
      <c r="A389" s="76">
        <v>46043</v>
      </c>
      <c r="B389" s="78">
        <v>2648</v>
      </c>
      <c r="C389" s="78" t="s">
        <v>26</v>
      </c>
      <c r="D389" t="s">
        <v>91</v>
      </c>
      <c r="E389" s="280">
        <v>1389700</v>
      </c>
      <c r="F389" s="77">
        <v>1389700</v>
      </c>
      <c r="G389" s="79">
        <v>46043</v>
      </c>
      <c r="H389">
        <v>5</v>
      </c>
    </row>
    <row r="390" spans="1:8" hidden="1" x14ac:dyDescent="0.25">
      <c r="A390" s="76">
        <v>46044</v>
      </c>
      <c r="B390" s="78">
        <v>2280</v>
      </c>
      <c r="C390" s="78" t="s">
        <v>26</v>
      </c>
      <c r="D390" t="s">
        <v>98</v>
      </c>
      <c r="E390" s="280">
        <v>433600</v>
      </c>
      <c r="F390" s="149">
        <v>438370</v>
      </c>
      <c r="G390" s="79">
        <v>46055</v>
      </c>
      <c r="H390">
        <v>10</v>
      </c>
    </row>
    <row r="391" spans="1:8" hidden="1" x14ac:dyDescent="0.25">
      <c r="A391" s="76">
        <v>46044</v>
      </c>
      <c r="B391" s="78">
        <v>2282</v>
      </c>
      <c r="C391" s="78" t="s">
        <v>26</v>
      </c>
      <c r="D391" t="s">
        <v>97</v>
      </c>
      <c r="E391" s="280">
        <v>480300</v>
      </c>
      <c r="F391" s="149">
        <v>487985</v>
      </c>
      <c r="G391" s="79">
        <v>46060</v>
      </c>
      <c r="H391">
        <v>10</v>
      </c>
    </row>
    <row r="392" spans="1:8" hidden="1" x14ac:dyDescent="0.25">
      <c r="A392" s="76">
        <v>46044</v>
      </c>
      <c r="B392" s="78">
        <v>2346</v>
      </c>
      <c r="C392" s="78" t="s">
        <v>26</v>
      </c>
      <c r="D392" t="s">
        <v>111</v>
      </c>
      <c r="E392" s="280">
        <v>656200</v>
      </c>
      <c r="F392" s="77">
        <v>656200</v>
      </c>
      <c r="G392" s="79">
        <v>46045</v>
      </c>
      <c r="H392">
        <v>9</v>
      </c>
    </row>
    <row r="393" spans="1:8" hidden="1" x14ac:dyDescent="0.25">
      <c r="A393" s="76">
        <v>46045</v>
      </c>
      <c r="B393" s="78">
        <v>2348</v>
      </c>
      <c r="C393" s="78" t="s">
        <v>26</v>
      </c>
      <c r="D393" t="s">
        <v>113</v>
      </c>
      <c r="E393" s="280">
        <v>393500</v>
      </c>
      <c r="F393" s="77">
        <v>278952</v>
      </c>
      <c r="G393" s="79">
        <v>45891</v>
      </c>
      <c r="H393">
        <v>9</v>
      </c>
    </row>
    <row r="394" spans="1:8" hidden="1" x14ac:dyDescent="0.25">
      <c r="A394" s="76">
        <v>46045</v>
      </c>
      <c r="B394" s="78">
        <v>2721</v>
      </c>
      <c r="C394" s="78" t="s">
        <v>26</v>
      </c>
      <c r="D394" t="s">
        <v>267</v>
      </c>
      <c r="E394" s="280">
        <v>1571700</v>
      </c>
      <c r="F394" s="77">
        <v>1571700</v>
      </c>
      <c r="G394" s="79">
        <v>45994</v>
      </c>
      <c r="H394">
        <v>4</v>
      </c>
    </row>
    <row r="395" spans="1:8" hidden="1" x14ac:dyDescent="0.25">
      <c r="A395" s="76">
        <v>46046</v>
      </c>
      <c r="B395" s="78">
        <v>2205</v>
      </c>
      <c r="C395" s="78" t="s">
        <v>26</v>
      </c>
      <c r="D395" t="s">
        <v>66</v>
      </c>
      <c r="E395" s="280">
        <v>679600</v>
      </c>
      <c r="F395" s="77">
        <v>547250</v>
      </c>
      <c r="G395" s="79">
        <v>45721</v>
      </c>
      <c r="H395">
        <v>11</v>
      </c>
    </row>
    <row r="396" spans="1:8" hidden="1" x14ac:dyDescent="0.25">
      <c r="A396" s="76">
        <v>46046</v>
      </c>
      <c r="B396" s="78">
        <v>2431</v>
      </c>
      <c r="C396" s="78" t="s">
        <v>26</v>
      </c>
      <c r="D396" t="s">
        <v>149</v>
      </c>
      <c r="E396" s="280">
        <v>313900</v>
      </c>
      <c r="F396" s="77">
        <v>313900</v>
      </c>
      <c r="G396" s="79">
        <v>46053</v>
      </c>
      <c r="H396">
        <v>8</v>
      </c>
    </row>
    <row r="397" spans="1:8" hidden="1" x14ac:dyDescent="0.25">
      <c r="A397" s="76">
        <v>46046</v>
      </c>
      <c r="B397" s="78">
        <v>2764</v>
      </c>
      <c r="C397" s="78" t="s">
        <v>26</v>
      </c>
      <c r="D397" t="s">
        <v>299</v>
      </c>
      <c r="E397" s="280">
        <v>1526600</v>
      </c>
      <c r="F397" s="77">
        <v>1526600</v>
      </c>
      <c r="G397" s="79">
        <v>46048</v>
      </c>
      <c r="H397">
        <v>3</v>
      </c>
    </row>
    <row r="398" spans="1:8" hidden="1" x14ac:dyDescent="0.25">
      <c r="A398" s="76">
        <v>46046</v>
      </c>
      <c r="B398" s="78">
        <v>2817</v>
      </c>
      <c r="C398" s="78" t="s">
        <v>26</v>
      </c>
      <c r="D398" t="s">
        <v>320</v>
      </c>
      <c r="E398" s="280">
        <v>841000</v>
      </c>
      <c r="F398" s="149">
        <v>849410</v>
      </c>
      <c r="G398" s="79">
        <v>46056</v>
      </c>
      <c r="H398">
        <v>2</v>
      </c>
    </row>
    <row r="399" spans="1:8" hidden="1" x14ac:dyDescent="0.25">
      <c r="A399" s="76">
        <v>46046</v>
      </c>
      <c r="B399" s="78">
        <v>2909</v>
      </c>
      <c r="C399" s="78" t="s">
        <v>26</v>
      </c>
      <c r="D399" t="s">
        <v>363</v>
      </c>
      <c r="E399" s="280">
        <v>1421200</v>
      </c>
      <c r="F399" s="77">
        <v>1421200</v>
      </c>
      <c r="G399" s="79">
        <v>46039</v>
      </c>
      <c r="H399">
        <v>1</v>
      </c>
    </row>
    <row r="400" spans="1:8" hidden="1" x14ac:dyDescent="0.25">
      <c r="A400" s="76">
        <v>46046</v>
      </c>
      <c r="B400" s="78">
        <v>2913</v>
      </c>
      <c r="C400" s="78" t="s">
        <v>26</v>
      </c>
      <c r="D400" t="s">
        <v>365</v>
      </c>
      <c r="E400" s="280">
        <v>588800</v>
      </c>
      <c r="F400" s="77">
        <v>588800</v>
      </c>
      <c r="G400" s="79">
        <v>46042</v>
      </c>
      <c r="H400">
        <v>1</v>
      </c>
    </row>
    <row r="401" spans="1:8" hidden="1" x14ac:dyDescent="0.25">
      <c r="A401" s="76">
        <v>46047</v>
      </c>
      <c r="B401" s="78">
        <v>2511</v>
      </c>
      <c r="C401" s="78" t="s">
        <v>26</v>
      </c>
      <c r="D401" t="s">
        <v>171</v>
      </c>
      <c r="E401" s="280">
        <v>712300</v>
      </c>
      <c r="F401" s="149">
        <v>724409</v>
      </c>
      <c r="G401" s="79">
        <v>46064</v>
      </c>
      <c r="H401">
        <v>7</v>
      </c>
    </row>
    <row r="402" spans="1:8" hidden="1" x14ac:dyDescent="0.25">
      <c r="A402" s="76">
        <v>46047</v>
      </c>
      <c r="B402" s="78">
        <v>2766</v>
      </c>
      <c r="C402" s="78" t="s">
        <v>26</v>
      </c>
      <c r="D402" t="s">
        <v>293</v>
      </c>
      <c r="E402" s="280">
        <v>1061900</v>
      </c>
      <c r="F402" s="77">
        <v>1061900</v>
      </c>
      <c r="G402" s="79">
        <v>45986</v>
      </c>
      <c r="H402">
        <v>3</v>
      </c>
    </row>
    <row r="403" spans="1:8" hidden="1" x14ac:dyDescent="0.25">
      <c r="A403" s="76">
        <v>46047</v>
      </c>
      <c r="B403" s="78">
        <v>2825</v>
      </c>
      <c r="C403" s="78" t="s">
        <v>26</v>
      </c>
      <c r="D403" t="s">
        <v>322</v>
      </c>
      <c r="E403" s="280">
        <v>619100</v>
      </c>
      <c r="F403" s="77">
        <v>619100</v>
      </c>
      <c r="G403" s="79">
        <v>46036</v>
      </c>
      <c r="H403">
        <v>2</v>
      </c>
    </row>
    <row r="404" spans="1:8" hidden="1" x14ac:dyDescent="0.25">
      <c r="A404" s="76">
        <v>46047</v>
      </c>
      <c r="B404" s="78">
        <v>2826</v>
      </c>
      <c r="C404" s="78" t="s">
        <v>26</v>
      </c>
      <c r="D404" t="s">
        <v>324</v>
      </c>
      <c r="E404" s="280">
        <v>1379900</v>
      </c>
      <c r="F404" s="77">
        <v>1379900</v>
      </c>
      <c r="G404" s="79">
        <v>46045</v>
      </c>
      <c r="H404">
        <v>2</v>
      </c>
    </row>
    <row r="405" spans="1:8" hidden="1" x14ac:dyDescent="0.25">
      <c r="A405" s="76">
        <v>46047</v>
      </c>
      <c r="B405" s="78">
        <v>2828</v>
      </c>
      <c r="C405" s="78" t="s">
        <v>26</v>
      </c>
      <c r="D405" t="s">
        <v>309</v>
      </c>
      <c r="E405" s="280">
        <v>441300</v>
      </c>
      <c r="F405" s="77">
        <v>441300</v>
      </c>
      <c r="G405" s="79">
        <v>46050</v>
      </c>
      <c r="H405">
        <v>2</v>
      </c>
    </row>
    <row r="406" spans="1:8" hidden="1" x14ac:dyDescent="0.25">
      <c r="A406" s="76">
        <v>46048</v>
      </c>
      <c r="B406" s="78">
        <v>2290</v>
      </c>
      <c r="C406" s="78" t="s">
        <v>26</v>
      </c>
      <c r="D406" t="s">
        <v>95</v>
      </c>
      <c r="E406" s="280">
        <v>629900</v>
      </c>
      <c r="F406" s="77">
        <v>647537</v>
      </c>
      <c r="G406" s="79">
        <v>46076</v>
      </c>
      <c r="H406">
        <v>10</v>
      </c>
    </row>
    <row r="407" spans="1:8" hidden="1" x14ac:dyDescent="0.25">
      <c r="A407" s="76">
        <v>46048</v>
      </c>
      <c r="B407" s="78">
        <v>2354</v>
      </c>
      <c r="C407" s="78" t="s">
        <v>26</v>
      </c>
      <c r="D407" t="s">
        <v>117</v>
      </c>
      <c r="E407" s="280">
        <v>867300</v>
      </c>
      <c r="F407" s="77">
        <v>867300</v>
      </c>
      <c r="G407" s="79">
        <v>45914</v>
      </c>
      <c r="H407">
        <v>9</v>
      </c>
    </row>
    <row r="408" spans="1:8" hidden="1" x14ac:dyDescent="0.25">
      <c r="A408" s="76">
        <v>46048</v>
      </c>
      <c r="B408" s="78">
        <v>2515</v>
      </c>
      <c r="C408" s="78" t="s">
        <v>26</v>
      </c>
      <c r="D408" t="s">
        <v>174</v>
      </c>
      <c r="E408" s="280">
        <v>804500</v>
      </c>
      <c r="F408" s="77">
        <v>804500</v>
      </c>
      <c r="G408" s="79">
        <v>46055</v>
      </c>
      <c r="H408">
        <v>7</v>
      </c>
    </row>
    <row r="409" spans="1:8" hidden="1" x14ac:dyDescent="0.25">
      <c r="A409" s="76">
        <v>46048</v>
      </c>
      <c r="B409" s="78">
        <v>2919</v>
      </c>
      <c r="C409" s="78" t="s">
        <v>26</v>
      </c>
      <c r="D409" t="s">
        <v>369</v>
      </c>
      <c r="E409" s="280">
        <v>440800</v>
      </c>
      <c r="F409" s="77">
        <v>440800</v>
      </c>
      <c r="G409" s="79">
        <v>46046</v>
      </c>
      <c r="H409">
        <v>1</v>
      </c>
    </row>
    <row r="410" spans="1:8" hidden="1" x14ac:dyDescent="0.25">
      <c r="A410" s="76">
        <v>46048</v>
      </c>
      <c r="B410" s="78">
        <v>2921</v>
      </c>
      <c r="C410" s="78" t="s">
        <v>26</v>
      </c>
      <c r="D410" t="s">
        <v>367</v>
      </c>
      <c r="E410" s="280">
        <v>1091100</v>
      </c>
      <c r="F410" s="77">
        <v>1091100</v>
      </c>
      <c r="G410" s="79">
        <v>46048</v>
      </c>
      <c r="H410">
        <v>1</v>
      </c>
    </row>
    <row r="411" spans="1:8" hidden="1" x14ac:dyDescent="0.25">
      <c r="A411" s="76">
        <v>46049</v>
      </c>
      <c r="B411" s="78">
        <v>2662</v>
      </c>
      <c r="C411" s="78" t="s">
        <v>26</v>
      </c>
      <c r="D411" t="s">
        <v>236</v>
      </c>
      <c r="E411" s="280">
        <v>869800</v>
      </c>
      <c r="F411" s="77">
        <v>894154</v>
      </c>
      <c r="G411" s="79">
        <v>46077</v>
      </c>
      <c r="H411">
        <v>5</v>
      </c>
    </row>
    <row r="412" spans="1:8" hidden="1" x14ac:dyDescent="0.25">
      <c r="A412" s="76">
        <v>46049</v>
      </c>
      <c r="B412" s="78">
        <v>2731</v>
      </c>
      <c r="C412" s="78" t="s">
        <v>26</v>
      </c>
      <c r="D412" t="s">
        <v>278</v>
      </c>
      <c r="E412" s="280">
        <v>1096900</v>
      </c>
      <c r="F412" s="77">
        <v>1096900</v>
      </c>
      <c r="G412" s="79">
        <v>46056</v>
      </c>
      <c r="H412">
        <v>4</v>
      </c>
    </row>
    <row r="413" spans="1:8" hidden="1" x14ac:dyDescent="0.25">
      <c r="A413" s="76">
        <v>46049</v>
      </c>
      <c r="B413" s="78">
        <v>2733</v>
      </c>
      <c r="C413" s="78" t="s">
        <v>26</v>
      </c>
      <c r="D413" t="s">
        <v>281</v>
      </c>
      <c r="E413" s="280">
        <v>1386300</v>
      </c>
      <c r="F413" s="77">
        <v>1386300</v>
      </c>
      <c r="G413" s="79">
        <v>45993</v>
      </c>
      <c r="H413">
        <v>4</v>
      </c>
    </row>
    <row r="414" spans="1:8" hidden="1" x14ac:dyDescent="0.25">
      <c r="A414" s="76">
        <v>46049</v>
      </c>
      <c r="B414" s="78">
        <v>2768</v>
      </c>
      <c r="C414" s="78" t="s">
        <v>26</v>
      </c>
      <c r="D414" t="s">
        <v>295</v>
      </c>
      <c r="E414" s="280">
        <v>537100</v>
      </c>
      <c r="F414" s="77">
        <v>549990</v>
      </c>
      <c r="G414" s="79">
        <v>46073</v>
      </c>
      <c r="H414">
        <v>3</v>
      </c>
    </row>
    <row r="415" spans="1:8" hidden="1" x14ac:dyDescent="0.25">
      <c r="A415" s="76">
        <v>46050</v>
      </c>
      <c r="B415" s="78">
        <v>2517</v>
      </c>
      <c r="C415" s="78" t="s">
        <v>26</v>
      </c>
      <c r="D415" t="s">
        <v>176</v>
      </c>
      <c r="E415" s="280">
        <v>728700</v>
      </c>
      <c r="F415" s="77">
        <v>728700</v>
      </c>
      <c r="G415" s="79">
        <v>46055</v>
      </c>
      <c r="H415">
        <v>7</v>
      </c>
    </row>
    <row r="416" spans="1:8" hidden="1" x14ac:dyDescent="0.25">
      <c r="A416" s="76">
        <v>46051</v>
      </c>
      <c r="B416" s="78">
        <v>2588</v>
      </c>
      <c r="C416" s="78" t="s">
        <v>26</v>
      </c>
      <c r="D416" t="s">
        <v>201</v>
      </c>
      <c r="E416" s="280">
        <v>792000</v>
      </c>
      <c r="F416" s="77">
        <v>506416</v>
      </c>
      <c r="G416" s="79">
        <v>45976</v>
      </c>
      <c r="H416">
        <v>6</v>
      </c>
    </row>
    <row r="417" spans="1:8" hidden="1" x14ac:dyDescent="0.25">
      <c r="A417" s="76">
        <v>46051</v>
      </c>
      <c r="B417" s="78">
        <v>912</v>
      </c>
      <c r="C417" s="78" t="s">
        <v>240</v>
      </c>
      <c r="D417" t="s">
        <v>241</v>
      </c>
      <c r="E417" s="280">
        <v>605800</v>
      </c>
      <c r="F417" s="77">
        <v>387337</v>
      </c>
      <c r="G417" s="79">
        <v>45996</v>
      </c>
      <c r="H417">
        <v>6</v>
      </c>
    </row>
    <row r="418" spans="1:8" hidden="1" x14ac:dyDescent="0.25">
      <c r="A418" s="76">
        <v>46051</v>
      </c>
      <c r="B418" s="78">
        <v>2777</v>
      </c>
      <c r="C418" s="78" t="s">
        <v>26</v>
      </c>
      <c r="D418" t="s">
        <v>297</v>
      </c>
      <c r="E418" s="280">
        <v>1383100</v>
      </c>
      <c r="F418" s="77">
        <v>1383100</v>
      </c>
      <c r="G418" s="79">
        <v>46057</v>
      </c>
      <c r="H418">
        <v>3</v>
      </c>
    </row>
    <row r="419" spans="1:8" hidden="1" x14ac:dyDescent="0.25">
      <c r="A419" s="76">
        <v>46051</v>
      </c>
      <c r="B419" s="78">
        <v>2835</v>
      </c>
      <c r="C419" s="78" t="s">
        <v>26</v>
      </c>
      <c r="D419" t="s">
        <v>326</v>
      </c>
      <c r="E419" s="280">
        <v>1379900</v>
      </c>
      <c r="F419" s="77">
        <v>1379900</v>
      </c>
      <c r="G419" s="79">
        <v>46008</v>
      </c>
      <c r="H419">
        <v>2</v>
      </c>
    </row>
    <row r="420" spans="1:8" hidden="1" x14ac:dyDescent="0.25">
      <c r="A420" s="76">
        <v>46052</v>
      </c>
      <c r="B420" s="78">
        <v>2674</v>
      </c>
      <c r="C420" s="78" t="s">
        <v>26</v>
      </c>
      <c r="D420" t="s">
        <v>238</v>
      </c>
      <c r="E420" s="280">
        <v>1080900</v>
      </c>
      <c r="F420" s="77">
        <v>1080900</v>
      </c>
      <c r="G420" s="79">
        <v>46055</v>
      </c>
      <c r="H420">
        <v>5</v>
      </c>
    </row>
    <row r="421" spans="1:8" hidden="1" x14ac:dyDescent="0.25">
      <c r="A421" s="76">
        <v>46052</v>
      </c>
      <c r="B421" s="78">
        <v>2936</v>
      </c>
      <c r="C421" s="78" t="s">
        <v>26</v>
      </c>
      <c r="D421" t="s">
        <v>372</v>
      </c>
      <c r="E421" s="280">
        <v>488500</v>
      </c>
      <c r="F421" s="77">
        <v>488500</v>
      </c>
      <c r="G421" s="79">
        <v>46053</v>
      </c>
      <c r="H421">
        <v>1</v>
      </c>
    </row>
    <row r="422" spans="1:8" hidden="1" x14ac:dyDescent="0.25">
      <c r="A422" s="76">
        <v>46053</v>
      </c>
      <c r="B422" s="78">
        <v>2597</v>
      </c>
      <c r="C422" s="78" t="s">
        <v>26</v>
      </c>
      <c r="D422" t="s">
        <v>204</v>
      </c>
      <c r="E422" s="280">
        <v>578500</v>
      </c>
      <c r="F422" s="149">
        <v>583707</v>
      </c>
      <c r="G422" s="79">
        <v>46062</v>
      </c>
      <c r="H422">
        <v>6</v>
      </c>
    </row>
    <row r="423" spans="1:8" hidden="1" x14ac:dyDescent="0.25">
      <c r="A423" s="76">
        <v>46054</v>
      </c>
      <c r="B423" s="78">
        <v>2311</v>
      </c>
      <c r="C423" s="78" t="s">
        <v>26</v>
      </c>
      <c r="D423" t="s">
        <v>93</v>
      </c>
      <c r="E423" s="280">
        <v>418100</v>
      </c>
      <c r="F423" s="77">
        <v>418100</v>
      </c>
      <c r="G423" s="79">
        <v>46046</v>
      </c>
      <c r="H423">
        <v>10</v>
      </c>
    </row>
    <row r="424" spans="1:8" hidden="1" x14ac:dyDescent="0.25">
      <c r="A424" s="76">
        <v>46054</v>
      </c>
      <c r="B424" s="78">
        <v>2677</v>
      </c>
      <c r="C424" s="78" t="s">
        <v>26</v>
      </c>
      <c r="D424" t="s">
        <v>255</v>
      </c>
      <c r="E424" s="280">
        <v>1033600</v>
      </c>
      <c r="F424" s="77">
        <v>1033600</v>
      </c>
      <c r="G424" s="79">
        <v>46056</v>
      </c>
      <c r="H424">
        <v>5</v>
      </c>
    </row>
    <row r="425" spans="1:8" hidden="1" x14ac:dyDescent="0.25">
      <c r="A425" s="76">
        <v>46054</v>
      </c>
      <c r="B425" s="78">
        <v>2839</v>
      </c>
      <c r="C425" s="78" t="s">
        <v>26</v>
      </c>
      <c r="D425" t="s">
        <v>328</v>
      </c>
      <c r="E425" s="280">
        <v>1376500</v>
      </c>
      <c r="F425" s="77">
        <v>1376500</v>
      </c>
      <c r="G425" s="79">
        <v>46058</v>
      </c>
      <c r="H425">
        <v>2</v>
      </c>
    </row>
    <row r="426" spans="1:8" hidden="1" x14ac:dyDescent="0.25">
      <c r="A426" s="76">
        <v>46054</v>
      </c>
      <c r="B426" s="78">
        <v>1047</v>
      </c>
      <c r="C426" s="78" t="s">
        <v>240</v>
      </c>
      <c r="D426" t="s">
        <v>346</v>
      </c>
      <c r="E426" s="280">
        <v>1360600</v>
      </c>
      <c r="F426" s="77">
        <v>1360600</v>
      </c>
      <c r="G426" s="79">
        <v>46048</v>
      </c>
      <c r="H426">
        <v>2</v>
      </c>
    </row>
    <row r="427" spans="1:8" hidden="1" x14ac:dyDescent="0.25">
      <c r="A427" s="76">
        <v>46055</v>
      </c>
      <c r="B427" s="78">
        <v>2606</v>
      </c>
      <c r="C427" s="78" t="s">
        <v>26</v>
      </c>
      <c r="D427" t="s">
        <v>225</v>
      </c>
      <c r="E427" s="280">
        <v>1011300</v>
      </c>
      <c r="F427" s="77">
        <v>977144</v>
      </c>
      <c r="G427" s="79">
        <v>45965</v>
      </c>
      <c r="H427">
        <v>6</v>
      </c>
    </row>
    <row r="428" spans="1:8" hidden="1" x14ac:dyDescent="0.25">
      <c r="A428" s="76">
        <v>46056</v>
      </c>
      <c r="B428" s="78">
        <v>2520</v>
      </c>
      <c r="C428" s="78" t="s">
        <v>26</v>
      </c>
      <c r="D428" t="s">
        <v>196</v>
      </c>
      <c r="E428" s="280">
        <v>481700</v>
      </c>
      <c r="F428" s="77">
        <v>481700</v>
      </c>
      <c r="G428" s="79">
        <v>46057</v>
      </c>
      <c r="H428">
        <v>7</v>
      </c>
    </row>
    <row r="429" spans="1:8" hidden="1" x14ac:dyDescent="0.25">
      <c r="A429" s="76">
        <v>46056</v>
      </c>
      <c r="B429" s="78">
        <v>2847</v>
      </c>
      <c r="C429" s="78" t="s">
        <v>26</v>
      </c>
      <c r="D429" t="s">
        <v>330</v>
      </c>
      <c r="E429" s="280">
        <v>419300</v>
      </c>
      <c r="F429" s="77">
        <v>419300</v>
      </c>
      <c r="G429" s="79">
        <v>46056</v>
      </c>
      <c r="H429">
        <v>2</v>
      </c>
    </row>
    <row r="430" spans="1:8" hidden="1" x14ac:dyDescent="0.25">
      <c r="A430" s="76">
        <v>46056</v>
      </c>
      <c r="B430" s="78">
        <v>1054</v>
      </c>
      <c r="C430" s="78" t="s">
        <v>240</v>
      </c>
      <c r="D430" t="s">
        <v>348</v>
      </c>
      <c r="E430" s="280">
        <v>1360600</v>
      </c>
      <c r="F430" s="77">
        <v>1360600</v>
      </c>
      <c r="G430" s="79">
        <v>46015</v>
      </c>
      <c r="H430">
        <v>2</v>
      </c>
    </row>
    <row r="431" spans="1:8" hidden="1" x14ac:dyDescent="0.25">
      <c r="A431" s="76">
        <v>46057</v>
      </c>
      <c r="B431" s="78">
        <v>2745</v>
      </c>
      <c r="C431" s="78" t="s">
        <v>26</v>
      </c>
      <c r="D431" t="s">
        <v>285</v>
      </c>
      <c r="E431" s="280">
        <v>1007800</v>
      </c>
      <c r="F431" s="77">
        <v>1007800</v>
      </c>
      <c r="G431" s="79">
        <v>46052</v>
      </c>
      <c r="H431">
        <v>4</v>
      </c>
    </row>
    <row r="432" spans="1:8" hidden="1" x14ac:dyDescent="0.25">
      <c r="A432" s="76">
        <v>46057</v>
      </c>
      <c r="B432" s="78">
        <v>2849</v>
      </c>
      <c r="C432" s="78" t="s">
        <v>26</v>
      </c>
      <c r="D432" t="s">
        <v>334</v>
      </c>
      <c r="E432" s="280">
        <v>365300</v>
      </c>
      <c r="F432" s="77">
        <v>365300</v>
      </c>
      <c r="G432" s="79">
        <v>46050</v>
      </c>
      <c r="H432">
        <v>2</v>
      </c>
    </row>
    <row r="433" spans="1:8" hidden="1" x14ac:dyDescent="0.25">
      <c r="A433" s="76">
        <v>46057</v>
      </c>
      <c r="B433" s="78">
        <v>2850</v>
      </c>
      <c r="C433" s="78" t="s">
        <v>26</v>
      </c>
      <c r="D433" t="s">
        <v>332</v>
      </c>
      <c r="E433" s="280">
        <v>615100</v>
      </c>
      <c r="F433" s="77">
        <v>615100</v>
      </c>
      <c r="G433" s="79">
        <v>46062</v>
      </c>
      <c r="H433">
        <v>2</v>
      </c>
    </row>
    <row r="434" spans="1:8" hidden="1" x14ac:dyDescent="0.25">
      <c r="A434" s="76">
        <v>46058</v>
      </c>
      <c r="B434" s="78">
        <v>2246</v>
      </c>
      <c r="C434" s="78" t="s">
        <v>26</v>
      </c>
      <c r="D434" t="s">
        <v>82</v>
      </c>
      <c r="E434" s="280">
        <v>636400</v>
      </c>
      <c r="F434" s="77">
        <v>636400</v>
      </c>
      <c r="G434" s="79">
        <v>46027</v>
      </c>
      <c r="H434">
        <v>11</v>
      </c>
    </row>
    <row r="435" spans="1:8" hidden="1" x14ac:dyDescent="0.25">
      <c r="A435" s="76">
        <v>46058</v>
      </c>
      <c r="B435" s="78">
        <v>2382</v>
      </c>
      <c r="C435" s="78" t="s">
        <v>26</v>
      </c>
      <c r="D435" t="s">
        <v>119</v>
      </c>
      <c r="E435" s="280">
        <v>581200</v>
      </c>
      <c r="F435" s="77">
        <v>506452</v>
      </c>
      <c r="G435" s="79">
        <v>45980</v>
      </c>
      <c r="H435">
        <v>9</v>
      </c>
    </row>
    <row r="436" spans="1:8" hidden="1" x14ac:dyDescent="0.25">
      <c r="A436" s="76">
        <v>46058</v>
      </c>
      <c r="B436" s="78">
        <v>2463</v>
      </c>
      <c r="C436" s="78" t="s">
        <v>26</v>
      </c>
      <c r="D436" t="s">
        <v>151</v>
      </c>
      <c r="E436" s="280">
        <v>782600</v>
      </c>
      <c r="F436" s="77">
        <v>658917</v>
      </c>
      <c r="G436" s="79">
        <v>46041</v>
      </c>
      <c r="H436">
        <v>8</v>
      </c>
    </row>
    <row r="437" spans="1:8" hidden="1" x14ac:dyDescent="0.25">
      <c r="A437" s="76">
        <v>46059</v>
      </c>
      <c r="B437" s="78">
        <v>2691</v>
      </c>
      <c r="C437" s="78" t="s">
        <v>26</v>
      </c>
      <c r="D437" t="s">
        <v>257</v>
      </c>
      <c r="E437" s="280">
        <v>1949300</v>
      </c>
      <c r="F437" s="149">
        <v>1964894</v>
      </c>
      <c r="G437" s="79">
        <v>46067</v>
      </c>
      <c r="H437">
        <v>5</v>
      </c>
    </row>
    <row r="438" spans="1:8" hidden="1" x14ac:dyDescent="0.25">
      <c r="A438" s="76">
        <v>46059</v>
      </c>
      <c r="B438" s="78">
        <v>2858</v>
      </c>
      <c r="C438" s="78" t="s">
        <v>26</v>
      </c>
      <c r="D438" t="s">
        <v>336</v>
      </c>
      <c r="E438" s="280">
        <v>779300</v>
      </c>
      <c r="F438" s="77">
        <v>779300</v>
      </c>
      <c r="G438" s="79">
        <v>46060</v>
      </c>
      <c r="H438">
        <v>2</v>
      </c>
    </row>
    <row r="439" spans="1:8" hidden="1" x14ac:dyDescent="0.25">
      <c r="A439" s="76">
        <v>46059</v>
      </c>
      <c r="B439" s="78">
        <v>2948</v>
      </c>
      <c r="C439" s="78" t="s">
        <v>26</v>
      </c>
      <c r="D439" t="s">
        <v>379</v>
      </c>
      <c r="E439" s="280">
        <v>298000</v>
      </c>
      <c r="F439" s="77">
        <v>300384</v>
      </c>
      <c r="G439" s="79">
        <v>46067</v>
      </c>
      <c r="H439">
        <v>1</v>
      </c>
    </row>
    <row r="440" spans="1:8" hidden="1" x14ac:dyDescent="0.25">
      <c r="A440" s="76">
        <v>46060</v>
      </c>
      <c r="B440" s="78">
        <v>2154</v>
      </c>
      <c r="C440" s="78" t="s">
        <v>26</v>
      </c>
      <c r="D440" t="s">
        <v>63</v>
      </c>
      <c r="E440" s="280">
        <v>672300</v>
      </c>
      <c r="F440" s="77">
        <v>672300</v>
      </c>
      <c r="G440" s="79">
        <v>46063</v>
      </c>
      <c r="H440">
        <v>12</v>
      </c>
    </row>
    <row r="441" spans="1:8" hidden="1" x14ac:dyDescent="0.25">
      <c r="A441" s="76">
        <v>46060</v>
      </c>
      <c r="B441" s="78">
        <v>2249</v>
      </c>
      <c r="C441" s="78" t="s">
        <v>26</v>
      </c>
      <c r="D441" t="s">
        <v>88</v>
      </c>
      <c r="E441" s="280">
        <v>1060500</v>
      </c>
      <c r="F441" s="77">
        <v>1060500</v>
      </c>
      <c r="G441" s="79">
        <v>46060</v>
      </c>
      <c r="H441">
        <v>11</v>
      </c>
    </row>
    <row r="442" spans="1:8" hidden="1" x14ac:dyDescent="0.25">
      <c r="A442" s="76">
        <v>46061</v>
      </c>
      <c r="B442" s="78">
        <v>2255</v>
      </c>
      <c r="C442" s="78" t="s">
        <v>26</v>
      </c>
      <c r="D442" t="s">
        <v>85</v>
      </c>
      <c r="E442" s="280">
        <v>570600</v>
      </c>
      <c r="F442" s="77">
        <v>612254</v>
      </c>
      <c r="G442" s="79">
        <v>46134</v>
      </c>
      <c r="H442">
        <v>11</v>
      </c>
    </row>
    <row r="443" spans="1:8" hidden="1" x14ac:dyDescent="0.25">
      <c r="A443" s="76">
        <v>46061</v>
      </c>
      <c r="B443" s="78">
        <v>2860</v>
      </c>
      <c r="C443" s="78" t="s">
        <v>26</v>
      </c>
      <c r="D443" t="s">
        <v>338</v>
      </c>
      <c r="E443" s="280">
        <v>1218500</v>
      </c>
      <c r="F443" s="77">
        <v>1218500</v>
      </c>
      <c r="G443" s="79">
        <v>46062</v>
      </c>
      <c r="H443">
        <v>2</v>
      </c>
    </row>
    <row r="444" spans="1:8" hidden="1" x14ac:dyDescent="0.25">
      <c r="A444" s="76">
        <v>46062</v>
      </c>
      <c r="B444" s="78">
        <v>2620</v>
      </c>
      <c r="C444" s="78" t="s">
        <v>26</v>
      </c>
      <c r="D444" t="s">
        <v>232</v>
      </c>
      <c r="E444" s="280">
        <v>780600</v>
      </c>
      <c r="F444" s="149">
        <v>787625</v>
      </c>
      <c r="G444" s="79">
        <v>46071</v>
      </c>
      <c r="H444">
        <v>6</v>
      </c>
    </row>
    <row r="445" spans="1:8" hidden="1" x14ac:dyDescent="0.25">
      <c r="A445" s="76">
        <v>46062</v>
      </c>
      <c r="B445" s="78">
        <v>883</v>
      </c>
      <c r="C445" s="78" t="s">
        <v>240</v>
      </c>
      <c r="D445" t="s">
        <v>243</v>
      </c>
      <c r="E445" s="280">
        <v>287300</v>
      </c>
      <c r="F445" s="77">
        <v>287300</v>
      </c>
      <c r="G445" s="79">
        <v>46038</v>
      </c>
      <c r="H445">
        <v>7</v>
      </c>
    </row>
    <row r="446" spans="1:8" hidden="1" x14ac:dyDescent="0.25">
      <c r="A446" s="76">
        <v>46062</v>
      </c>
      <c r="B446" s="78">
        <v>2861</v>
      </c>
      <c r="C446" s="78" t="s">
        <v>26</v>
      </c>
      <c r="D446" t="s">
        <v>340</v>
      </c>
      <c r="E446" s="280">
        <v>308200</v>
      </c>
      <c r="F446" s="77">
        <v>308200</v>
      </c>
      <c r="G446" s="79">
        <v>46063</v>
      </c>
      <c r="H446">
        <v>2</v>
      </c>
    </row>
    <row r="447" spans="1:8" hidden="1" x14ac:dyDescent="0.25">
      <c r="A447" s="76">
        <v>46062</v>
      </c>
      <c r="B447" s="78">
        <v>1059</v>
      </c>
      <c r="C447" s="78" t="s">
        <v>240</v>
      </c>
      <c r="D447" t="s">
        <v>350</v>
      </c>
      <c r="E447" s="280">
        <v>1313700</v>
      </c>
      <c r="F447" s="77">
        <v>1313700</v>
      </c>
      <c r="G447" s="79">
        <v>46000</v>
      </c>
      <c r="H447">
        <v>2</v>
      </c>
    </row>
    <row r="448" spans="1:8" hidden="1" x14ac:dyDescent="0.25">
      <c r="A448" s="76">
        <v>46063</v>
      </c>
      <c r="B448" s="78">
        <v>2399</v>
      </c>
      <c r="C448" s="78" t="s">
        <v>26</v>
      </c>
      <c r="D448" t="s">
        <v>121</v>
      </c>
      <c r="E448" s="280">
        <v>564700</v>
      </c>
      <c r="F448" s="77">
        <v>564700</v>
      </c>
      <c r="G448" s="79">
        <v>46063</v>
      </c>
      <c r="H448">
        <v>9</v>
      </c>
    </row>
    <row r="449" spans="1:8" x14ac:dyDescent="0.25">
      <c r="A449" s="76">
        <v>46063</v>
      </c>
      <c r="B449" s="78">
        <v>2473</v>
      </c>
      <c r="C449" s="78" t="s">
        <v>26</v>
      </c>
      <c r="D449" t="s">
        <v>164</v>
      </c>
      <c r="E449" s="280">
        <v>1002083</v>
      </c>
      <c r="H449">
        <v>8</v>
      </c>
    </row>
    <row r="450" spans="1:8" hidden="1" x14ac:dyDescent="0.25">
      <c r="A450" s="76">
        <v>46063</v>
      </c>
      <c r="B450" s="78">
        <v>2864</v>
      </c>
      <c r="C450" s="78" t="s">
        <v>26</v>
      </c>
      <c r="D450" t="s">
        <v>344</v>
      </c>
      <c r="E450" s="280">
        <v>1376500</v>
      </c>
      <c r="F450" s="77">
        <v>1376500</v>
      </c>
      <c r="G450" s="79">
        <v>46063</v>
      </c>
      <c r="H450">
        <v>2</v>
      </c>
    </row>
    <row r="451" spans="1:8" hidden="1" x14ac:dyDescent="0.25">
      <c r="A451" s="76">
        <v>46067</v>
      </c>
      <c r="B451" s="78">
        <v>2405</v>
      </c>
      <c r="C451" s="78" t="s">
        <v>26</v>
      </c>
      <c r="D451" t="s">
        <v>129</v>
      </c>
      <c r="E451" s="280">
        <v>418100</v>
      </c>
      <c r="F451" s="77">
        <v>418100</v>
      </c>
      <c r="G451" s="79">
        <v>46070</v>
      </c>
      <c r="H451">
        <v>9</v>
      </c>
    </row>
    <row r="452" spans="1:8" hidden="1" x14ac:dyDescent="0.25">
      <c r="A452" s="76">
        <v>46069</v>
      </c>
      <c r="B452" s="78">
        <v>2878</v>
      </c>
      <c r="C452" s="78" t="s">
        <v>26</v>
      </c>
      <c r="D452" t="s">
        <v>361</v>
      </c>
      <c r="E452" s="280">
        <v>965900</v>
      </c>
      <c r="F452" s="77">
        <v>965900</v>
      </c>
      <c r="G452" s="79">
        <v>46065</v>
      </c>
      <c r="H452">
        <v>2</v>
      </c>
    </row>
    <row r="453" spans="1:8" hidden="1" x14ac:dyDescent="0.25">
      <c r="A453" s="76">
        <v>46070</v>
      </c>
      <c r="B453" s="78">
        <v>2566</v>
      </c>
      <c r="C453" s="78" t="s">
        <v>26</v>
      </c>
      <c r="D453" t="s">
        <v>200</v>
      </c>
      <c r="E453" s="280">
        <v>790200</v>
      </c>
      <c r="F453" s="77">
        <v>790200</v>
      </c>
      <c r="G453" s="79">
        <v>45904</v>
      </c>
      <c r="H453">
        <v>7</v>
      </c>
    </row>
    <row r="454" spans="1:8" hidden="1" x14ac:dyDescent="0.25">
      <c r="A454" s="76">
        <v>46070</v>
      </c>
      <c r="B454" s="78">
        <v>2967</v>
      </c>
      <c r="C454" s="78" t="s">
        <v>26</v>
      </c>
      <c r="D454" t="s">
        <v>396</v>
      </c>
      <c r="E454" s="280">
        <v>989800</v>
      </c>
      <c r="F454" s="77">
        <v>989800</v>
      </c>
      <c r="G454" s="79">
        <v>46056</v>
      </c>
      <c r="H454">
        <v>1</v>
      </c>
    </row>
    <row r="455" spans="1:8" hidden="1" x14ac:dyDescent="0.25">
      <c r="A455" s="76">
        <v>46070</v>
      </c>
      <c r="B455" s="78">
        <v>2968</v>
      </c>
      <c r="C455" s="78" t="s">
        <v>26</v>
      </c>
      <c r="D455" t="s">
        <v>398</v>
      </c>
      <c r="E455" s="280">
        <v>452200</v>
      </c>
      <c r="F455" s="77">
        <v>452200</v>
      </c>
      <c r="G455" s="79">
        <v>46069</v>
      </c>
      <c r="H455">
        <v>1</v>
      </c>
    </row>
    <row r="456" spans="1:8" hidden="1" x14ac:dyDescent="0.25">
      <c r="A456" s="76">
        <v>46071</v>
      </c>
      <c r="B456" s="78">
        <v>2493</v>
      </c>
      <c r="C456" s="78" t="s">
        <v>26</v>
      </c>
      <c r="D456" t="s">
        <v>166</v>
      </c>
      <c r="E456" s="280">
        <v>328300</v>
      </c>
      <c r="F456" s="77">
        <v>344715</v>
      </c>
      <c r="G456" s="79">
        <v>46121</v>
      </c>
      <c r="H456">
        <v>8</v>
      </c>
    </row>
    <row r="457" spans="1:8" hidden="1" x14ac:dyDescent="0.25">
      <c r="A457" s="76">
        <v>46072</v>
      </c>
      <c r="B457" s="78">
        <v>2494</v>
      </c>
      <c r="C457" s="78" t="s">
        <v>26</v>
      </c>
      <c r="D457" t="s">
        <v>168</v>
      </c>
      <c r="E457" s="280">
        <v>425600</v>
      </c>
      <c r="F457" s="77">
        <v>425600</v>
      </c>
      <c r="G457" s="79">
        <v>46070</v>
      </c>
      <c r="H457">
        <v>8</v>
      </c>
    </row>
    <row r="458" spans="1:8" hidden="1" x14ac:dyDescent="0.25">
      <c r="A458" s="76">
        <v>46072</v>
      </c>
      <c r="B458" s="78">
        <v>2637</v>
      </c>
      <c r="C458" s="78" t="s">
        <v>26</v>
      </c>
      <c r="D458" t="s">
        <v>221</v>
      </c>
      <c r="E458" s="280">
        <v>663300</v>
      </c>
      <c r="F458" s="77">
        <v>669270</v>
      </c>
      <c r="G458" s="79">
        <v>46081</v>
      </c>
      <c r="H458">
        <v>6</v>
      </c>
    </row>
    <row r="459" spans="1:8" hidden="1" x14ac:dyDescent="0.25">
      <c r="A459" s="76">
        <v>46072</v>
      </c>
      <c r="B459" s="78">
        <v>2810</v>
      </c>
      <c r="C459" s="78" t="s">
        <v>26</v>
      </c>
      <c r="D459" t="s">
        <v>318</v>
      </c>
      <c r="E459" s="280">
        <v>557500</v>
      </c>
      <c r="F459" s="77">
        <v>557500</v>
      </c>
      <c r="G459" s="79">
        <v>46073</v>
      </c>
      <c r="H459">
        <v>3</v>
      </c>
    </row>
    <row r="460" spans="1:8" hidden="1" x14ac:dyDescent="0.25">
      <c r="A460" s="76">
        <v>46072</v>
      </c>
      <c r="B460" s="78">
        <v>1110</v>
      </c>
      <c r="C460" s="78" t="s">
        <v>240</v>
      </c>
      <c r="D460" t="s">
        <v>419</v>
      </c>
      <c r="E460" s="280">
        <v>751300</v>
      </c>
      <c r="F460" s="77">
        <v>751300</v>
      </c>
      <c r="G460" s="79">
        <v>46069</v>
      </c>
      <c r="H460">
        <v>1</v>
      </c>
    </row>
    <row r="461" spans="1:8" hidden="1" x14ac:dyDescent="0.25">
      <c r="A461" s="76">
        <v>46073</v>
      </c>
      <c r="B461" s="78">
        <v>2498</v>
      </c>
      <c r="C461" s="78" t="s">
        <v>26</v>
      </c>
      <c r="D461" t="s">
        <v>153</v>
      </c>
      <c r="E461" s="280">
        <v>904200</v>
      </c>
      <c r="F461" s="77">
        <v>904200</v>
      </c>
      <c r="G461" s="79">
        <v>46079</v>
      </c>
      <c r="H461">
        <v>8</v>
      </c>
    </row>
    <row r="462" spans="1:8" hidden="1" x14ac:dyDescent="0.25">
      <c r="A462" s="76">
        <v>46073</v>
      </c>
      <c r="B462" s="78">
        <v>2640</v>
      </c>
      <c r="C462" s="78" t="s">
        <v>26</v>
      </c>
      <c r="D462" t="s">
        <v>234</v>
      </c>
      <c r="E462" s="280">
        <v>789900</v>
      </c>
      <c r="F462" s="77">
        <v>899696</v>
      </c>
      <c r="G462" s="79">
        <v>46212</v>
      </c>
      <c r="H462">
        <v>6</v>
      </c>
    </row>
    <row r="463" spans="1:8" hidden="1" x14ac:dyDescent="0.25">
      <c r="A463" s="76">
        <v>46073</v>
      </c>
      <c r="B463" s="78">
        <v>2973</v>
      </c>
      <c r="C463" s="78" t="s">
        <v>26</v>
      </c>
      <c r="D463" t="s">
        <v>400</v>
      </c>
      <c r="E463" s="280">
        <v>696400</v>
      </c>
      <c r="F463" s="77">
        <v>696400</v>
      </c>
      <c r="G463" s="79">
        <v>46072</v>
      </c>
      <c r="H463">
        <v>1</v>
      </c>
    </row>
    <row r="464" spans="1:8" hidden="1" x14ac:dyDescent="0.25">
      <c r="A464" s="76">
        <v>46073</v>
      </c>
      <c r="B464" s="78">
        <v>1111</v>
      </c>
      <c r="C464" s="78" t="s">
        <v>240</v>
      </c>
      <c r="D464" t="s">
        <v>422</v>
      </c>
      <c r="E464" s="280">
        <v>1360600</v>
      </c>
      <c r="F464" s="77">
        <v>1360600</v>
      </c>
      <c r="G464" s="79">
        <v>46070</v>
      </c>
      <c r="H464">
        <v>1</v>
      </c>
    </row>
    <row r="465" spans="1:8" hidden="1" x14ac:dyDescent="0.25">
      <c r="A465" s="76">
        <v>46074</v>
      </c>
      <c r="B465" s="78">
        <v>2344</v>
      </c>
      <c r="C465" s="78" t="s">
        <v>26</v>
      </c>
      <c r="D465" t="s">
        <v>109</v>
      </c>
      <c r="E465" s="280">
        <v>317700</v>
      </c>
      <c r="F465" s="77">
        <v>317700</v>
      </c>
      <c r="G465" s="79">
        <v>46078</v>
      </c>
      <c r="H465">
        <v>10</v>
      </c>
    </row>
    <row r="466" spans="1:8" hidden="1" x14ac:dyDescent="0.25">
      <c r="A466" s="76">
        <v>46074</v>
      </c>
      <c r="B466" s="78">
        <v>2425</v>
      </c>
      <c r="C466" s="78" t="s">
        <v>26</v>
      </c>
      <c r="D466" t="s">
        <v>131</v>
      </c>
      <c r="E466" s="280">
        <v>534800</v>
      </c>
      <c r="F466" s="77">
        <v>542287</v>
      </c>
      <c r="G466" s="79">
        <v>46088</v>
      </c>
      <c r="H466">
        <v>9</v>
      </c>
    </row>
    <row r="467" spans="1:8" hidden="1" x14ac:dyDescent="0.25">
      <c r="A467" s="76">
        <v>46074</v>
      </c>
      <c r="B467" s="78">
        <v>2500</v>
      </c>
      <c r="C467" s="78" t="s">
        <v>26</v>
      </c>
      <c r="D467" t="s">
        <v>155</v>
      </c>
      <c r="E467" s="280">
        <v>600000</v>
      </c>
      <c r="F467" s="77">
        <v>600000</v>
      </c>
      <c r="G467" s="79">
        <v>46076</v>
      </c>
      <c r="H467">
        <v>8</v>
      </c>
    </row>
    <row r="468" spans="1:8" hidden="1" x14ac:dyDescent="0.25">
      <c r="A468" s="76">
        <v>46074</v>
      </c>
      <c r="B468" s="78">
        <v>2501</v>
      </c>
      <c r="C468" s="78" t="s">
        <v>26</v>
      </c>
      <c r="D468" t="s">
        <v>157</v>
      </c>
      <c r="E468" s="280">
        <v>325300</v>
      </c>
      <c r="F468" s="77">
        <v>325300</v>
      </c>
      <c r="G468" s="79">
        <v>46067</v>
      </c>
      <c r="H468">
        <v>8</v>
      </c>
    </row>
    <row r="469" spans="1:8" hidden="1" x14ac:dyDescent="0.25">
      <c r="A469" s="76">
        <v>46074</v>
      </c>
      <c r="B469" s="78">
        <v>2505</v>
      </c>
      <c r="C469" s="78" t="s">
        <v>26</v>
      </c>
      <c r="D469" t="s">
        <v>170</v>
      </c>
      <c r="E469" s="280">
        <v>901600</v>
      </c>
      <c r="F469" s="77">
        <v>901600</v>
      </c>
      <c r="G469" s="79">
        <v>46113</v>
      </c>
      <c r="H469">
        <v>8</v>
      </c>
    </row>
    <row r="470" spans="1:8" hidden="1" x14ac:dyDescent="0.25">
      <c r="A470" s="76">
        <v>46074</v>
      </c>
      <c r="B470" s="78">
        <v>2648</v>
      </c>
      <c r="C470" s="78" t="s">
        <v>26</v>
      </c>
      <c r="D470" t="s">
        <v>91</v>
      </c>
      <c r="E470" s="280">
        <v>1389700</v>
      </c>
      <c r="F470" s="77">
        <v>1389700</v>
      </c>
      <c r="G470" s="79">
        <v>46071</v>
      </c>
      <c r="H470">
        <v>6</v>
      </c>
    </row>
    <row r="471" spans="1:8" hidden="1" x14ac:dyDescent="0.25">
      <c r="A471" s="76">
        <v>46074</v>
      </c>
      <c r="B471" s="78">
        <v>1112</v>
      </c>
      <c r="C471" s="78" t="s">
        <v>240</v>
      </c>
      <c r="D471" t="s">
        <v>467</v>
      </c>
      <c r="E471" s="280">
        <v>649000</v>
      </c>
      <c r="F471" s="77">
        <v>649000</v>
      </c>
      <c r="G471" s="79">
        <v>46074</v>
      </c>
      <c r="H471">
        <v>1</v>
      </c>
    </row>
    <row r="472" spans="1:8" hidden="1" x14ac:dyDescent="0.25">
      <c r="A472" s="76">
        <v>46075</v>
      </c>
      <c r="B472" s="78">
        <v>2280</v>
      </c>
      <c r="C472" s="78" t="s">
        <v>26</v>
      </c>
      <c r="D472" t="s">
        <v>98</v>
      </c>
      <c r="E472" s="280">
        <v>433600</v>
      </c>
      <c r="F472" s="77">
        <v>437069</v>
      </c>
      <c r="G472" s="79">
        <v>46083</v>
      </c>
      <c r="H472">
        <v>11</v>
      </c>
    </row>
    <row r="473" spans="1:8" hidden="1" x14ac:dyDescent="0.25">
      <c r="A473" s="76">
        <v>46075</v>
      </c>
      <c r="B473" s="78">
        <v>2282</v>
      </c>
      <c r="C473" s="78" t="s">
        <v>26</v>
      </c>
      <c r="D473" t="s">
        <v>97</v>
      </c>
      <c r="E473" s="280">
        <v>480300</v>
      </c>
      <c r="F473" s="77">
        <v>480300</v>
      </c>
      <c r="G473" s="79">
        <v>46060</v>
      </c>
      <c r="H473">
        <v>11</v>
      </c>
    </row>
    <row r="474" spans="1:8" hidden="1" x14ac:dyDescent="0.25">
      <c r="A474" s="76">
        <v>46075</v>
      </c>
      <c r="B474" s="78">
        <v>2346</v>
      </c>
      <c r="C474" s="78" t="s">
        <v>26</v>
      </c>
      <c r="D474" t="s">
        <v>111</v>
      </c>
      <c r="E474" s="280">
        <v>656200</v>
      </c>
      <c r="F474" s="77">
        <v>656200</v>
      </c>
      <c r="G474" s="79">
        <v>46076</v>
      </c>
      <c r="H474">
        <v>10</v>
      </c>
    </row>
    <row r="475" spans="1:8" hidden="1" x14ac:dyDescent="0.25">
      <c r="A475" s="76">
        <v>46076</v>
      </c>
      <c r="B475" s="78">
        <v>2348</v>
      </c>
      <c r="C475" s="78" t="s">
        <v>26</v>
      </c>
      <c r="D475" t="s">
        <v>113</v>
      </c>
      <c r="E475" s="280">
        <v>393500</v>
      </c>
      <c r="F475" s="77">
        <v>288715</v>
      </c>
      <c r="G475" s="79">
        <v>45891</v>
      </c>
      <c r="H475">
        <v>10</v>
      </c>
    </row>
    <row r="476" spans="1:8" hidden="1" x14ac:dyDescent="0.25">
      <c r="A476" s="76">
        <v>46076</v>
      </c>
      <c r="B476" s="78">
        <v>2721</v>
      </c>
      <c r="C476" s="78" t="s">
        <v>26</v>
      </c>
      <c r="D476" t="s">
        <v>267</v>
      </c>
      <c r="E476" s="280">
        <v>1571700</v>
      </c>
      <c r="F476" s="77">
        <v>1571700</v>
      </c>
      <c r="G476" s="79">
        <v>45994</v>
      </c>
      <c r="H476">
        <v>5</v>
      </c>
    </row>
    <row r="477" spans="1:8" hidden="1" x14ac:dyDescent="0.25">
      <c r="A477" s="76">
        <v>46077</v>
      </c>
      <c r="B477" s="78">
        <v>2205</v>
      </c>
      <c r="C477" s="78" t="s">
        <v>26</v>
      </c>
      <c r="D477" t="s">
        <v>66</v>
      </c>
      <c r="E477" s="280">
        <v>679600</v>
      </c>
      <c r="F477" s="77">
        <v>547250</v>
      </c>
      <c r="G477" s="79">
        <v>45721</v>
      </c>
      <c r="H477">
        <v>12</v>
      </c>
    </row>
    <row r="478" spans="1:8" hidden="1" x14ac:dyDescent="0.25">
      <c r="A478" s="76">
        <v>46077</v>
      </c>
      <c r="B478" s="78">
        <v>2431</v>
      </c>
      <c r="C478" s="78" t="s">
        <v>26</v>
      </c>
      <c r="D478" t="s">
        <v>149</v>
      </c>
      <c r="E478" s="280">
        <v>313900</v>
      </c>
      <c r="F478" s="77">
        <v>317039</v>
      </c>
      <c r="G478" s="79">
        <v>46087</v>
      </c>
      <c r="H478">
        <v>9</v>
      </c>
    </row>
    <row r="479" spans="1:8" hidden="1" x14ac:dyDescent="0.25">
      <c r="A479" s="76">
        <v>46077</v>
      </c>
      <c r="B479" s="78">
        <v>2764</v>
      </c>
      <c r="C479" s="78" t="s">
        <v>26</v>
      </c>
      <c r="D479" t="s">
        <v>299</v>
      </c>
      <c r="E479" s="280">
        <v>1526600</v>
      </c>
      <c r="F479" s="77">
        <v>1526600</v>
      </c>
      <c r="G479" s="79">
        <v>46078</v>
      </c>
      <c r="H479">
        <v>4</v>
      </c>
    </row>
    <row r="480" spans="1:8" hidden="1" x14ac:dyDescent="0.25">
      <c r="A480" s="76">
        <v>46077</v>
      </c>
      <c r="B480" s="78">
        <v>2817</v>
      </c>
      <c r="C480" s="78" t="s">
        <v>26</v>
      </c>
      <c r="D480" t="s">
        <v>320</v>
      </c>
      <c r="E480" s="280">
        <v>841000</v>
      </c>
      <c r="F480" s="77">
        <v>841000</v>
      </c>
      <c r="G480" s="79">
        <v>46122</v>
      </c>
      <c r="H480">
        <v>3</v>
      </c>
    </row>
    <row r="481" spans="1:8" hidden="1" x14ac:dyDescent="0.25">
      <c r="A481" s="76">
        <v>46077</v>
      </c>
      <c r="B481" s="78">
        <v>2909</v>
      </c>
      <c r="C481" s="78" t="s">
        <v>26</v>
      </c>
      <c r="D481" t="s">
        <v>363</v>
      </c>
      <c r="E481" s="280">
        <v>1421200</v>
      </c>
      <c r="F481" s="77">
        <v>1421200</v>
      </c>
      <c r="G481" s="79">
        <v>46077</v>
      </c>
      <c r="H481">
        <v>2</v>
      </c>
    </row>
    <row r="482" spans="1:8" hidden="1" x14ac:dyDescent="0.25">
      <c r="A482" s="76">
        <v>46077</v>
      </c>
      <c r="B482" s="78">
        <v>2913</v>
      </c>
      <c r="C482" s="78" t="s">
        <v>26</v>
      </c>
      <c r="D482" t="s">
        <v>365</v>
      </c>
      <c r="E482" s="280">
        <v>588800</v>
      </c>
      <c r="F482" s="77">
        <v>588800</v>
      </c>
      <c r="G482" s="79">
        <v>46066</v>
      </c>
      <c r="H482">
        <v>2</v>
      </c>
    </row>
    <row r="483" spans="1:8" hidden="1" x14ac:dyDescent="0.25">
      <c r="A483" s="76">
        <v>46078</v>
      </c>
      <c r="B483" s="78">
        <v>2511</v>
      </c>
      <c r="C483" s="78" t="s">
        <v>26</v>
      </c>
      <c r="D483" t="s">
        <v>171</v>
      </c>
      <c r="E483" s="280">
        <v>712300</v>
      </c>
      <c r="F483" s="77">
        <v>725834</v>
      </c>
      <c r="G483" s="79">
        <v>46097</v>
      </c>
      <c r="H483">
        <v>8</v>
      </c>
    </row>
    <row r="484" spans="1:8" hidden="1" x14ac:dyDescent="0.25">
      <c r="A484" s="76">
        <v>46078</v>
      </c>
      <c r="B484" s="78">
        <v>2825</v>
      </c>
      <c r="C484" s="78" t="s">
        <v>26</v>
      </c>
      <c r="D484" t="s">
        <v>322</v>
      </c>
      <c r="E484" s="280">
        <v>619100</v>
      </c>
      <c r="F484" s="77">
        <v>619100</v>
      </c>
      <c r="G484" s="79">
        <v>46066</v>
      </c>
      <c r="H484">
        <v>3</v>
      </c>
    </row>
    <row r="485" spans="1:8" hidden="1" x14ac:dyDescent="0.25">
      <c r="A485" s="76">
        <v>46078</v>
      </c>
      <c r="B485" s="78">
        <v>2826</v>
      </c>
      <c r="C485" s="78" t="s">
        <v>26</v>
      </c>
      <c r="D485" t="s">
        <v>324</v>
      </c>
      <c r="E485" s="280">
        <v>1379900</v>
      </c>
      <c r="F485" s="77">
        <v>1379900</v>
      </c>
      <c r="G485" s="79">
        <v>46078</v>
      </c>
      <c r="H485">
        <v>3</v>
      </c>
    </row>
    <row r="486" spans="1:8" hidden="1" x14ac:dyDescent="0.25">
      <c r="A486" s="76">
        <v>46078</v>
      </c>
      <c r="B486" s="78">
        <v>2828</v>
      </c>
      <c r="C486" s="78" t="s">
        <v>26</v>
      </c>
      <c r="D486" t="s">
        <v>309</v>
      </c>
      <c r="E486" s="280">
        <v>441300</v>
      </c>
      <c r="F486" s="77">
        <v>453656</v>
      </c>
      <c r="G486" s="79">
        <v>46106</v>
      </c>
      <c r="H486">
        <v>3</v>
      </c>
    </row>
    <row r="487" spans="1:8" hidden="1" x14ac:dyDescent="0.25">
      <c r="A487" s="76">
        <v>46079</v>
      </c>
      <c r="B487" s="78">
        <v>2290</v>
      </c>
      <c r="C487" s="78" t="s">
        <v>26</v>
      </c>
      <c r="D487" t="s">
        <v>95</v>
      </c>
      <c r="E487" s="280">
        <v>629900</v>
      </c>
      <c r="F487" s="77">
        <v>646907</v>
      </c>
      <c r="G487" s="79">
        <v>46106</v>
      </c>
      <c r="H487">
        <v>11</v>
      </c>
    </row>
    <row r="488" spans="1:8" hidden="1" x14ac:dyDescent="0.25">
      <c r="A488" s="76">
        <v>46079</v>
      </c>
      <c r="B488" s="78">
        <v>2354</v>
      </c>
      <c r="C488" s="78" t="s">
        <v>26</v>
      </c>
      <c r="D488" t="s">
        <v>117</v>
      </c>
      <c r="E488" s="280">
        <v>867300</v>
      </c>
      <c r="F488" s="77">
        <v>867300</v>
      </c>
      <c r="G488" s="79">
        <v>45936</v>
      </c>
      <c r="H488">
        <v>10</v>
      </c>
    </row>
    <row r="489" spans="1:8" hidden="1" x14ac:dyDescent="0.25">
      <c r="A489" s="76">
        <v>46079</v>
      </c>
      <c r="B489" s="78">
        <v>2515</v>
      </c>
      <c r="C489" s="78" t="s">
        <v>26</v>
      </c>
      <c r="D489" t="s">
        <v>174</v>
      </c>
      <c r="E489" s="280">
        <v>804500</v>
      </c>
      <c r="F489" s="77">
        <v>804500</v>
      </c>
      <c r="G489" s="79">
        <v>46085</v>
      </c>
      <c r="H489">
        <v>8</v>
      </c>
    </row>
    <row r="490" spans="1:8" hidden="1" x14ac:dyDescent="0.25">
      <c r="A490" s="76">
        <v>46079</v>
      </c>
      <c r="B490" s="78">
        <v>2919</v>
      </c>
      <c r="C490" s="78" t="s">
        <v>26</v>
      </c>
      <c r="D490" t="s">
        <v>369</v>
      </c>
      <c r="E490" s="280">
        <v>440800</v>
      </c>
      <c r="F490" s="77">
        <v>440800</v>
      </c>
      <c r="G490" s="79">
        <v>46072</v>
      </c>
      <c r="H490">
        <v>2</v>
      </c>
    </row>
    <row r="491" spans="1:8" hidden="1" x14ac:dyDescent="0.25">
      <c r="A491" s="76">
        <v>46079</v>
      </c>
      <c r="B491" s="78">
        <v>2921</v>
      </c>
      <c r="C491" s="78" t="s">
        <v>26</v>
      </c>
      <c r="D491" t="s">
        <v>367</v>
      </c>
      <c r="E491" s="280">
        <v>1091100</v>
      </c>
      <c r="F491" s="77">
        <v>1091100</v>
      </c>
      <c r="G491" s="79">
        <v>46079</v>
      </c>
      <c r="H491">
        <v>2</v>
      </c>
    </row>
    <row r="492" spans="1:8" hidden="1" x14ac:dyDescent="0.25">
      <c r="A492" s="76">
        <v>46080</v>
      </c>
      <c r="B492" s="78">
        <v>2662</v>
      </c>
      <c r="C492" s="78" t="s">
        <v>26</v>
      </c>
      <c r="D492" t="s">
        <v>236</v>
      </c>
      <c r="E492" s="280">
        <v>869800</v>
      </c>
      <c r="F492" s="77">
        <v>881977</v>
      </c>
      <c r="G492" s="79">
        <v>46094</v>
      </c>
      <c r="H492">
        <v>6</v>
      </c>
    </row>
    <row r="493" spans="1:8" hidden="1" x14ac:dyDescent="0.25">
      <c r="A493" s="76">
        <v>46080</v>
      </c>
      <c r="B493" s="78">
        <v>2731</v>
      </c>
      <c r="C493" s="78" t="s">
        <v>26</v>
      </c>
      <c r="D493" t="s">
        <v>278</v>
      </c>
      <c r="E493" s="280">
        <v>1096900</v>
      </c>
      <c r="F493" s="77">
        <v>1112257</v>
      </c>
      <c r="G493" s="79">
        <v>46094</v>
      </c>
      <c r="H493">
        <v>5</v>
      </c>
    </row>
    <row r="494" spans="1:8" hidden="1" x14ac:dyDescent="0.25">
      <c r="A494" s="76">
        <v>46080</v>
      </c>
      <c r="B494" s="78">
        <v>2733</v>
      </c>
      <c r="C494" s="78" t="s">
        <v>26</v>
      </c>
      <c r="D494" t="s">
        <v>281</v>
      </c>
      <c r="E494" s="280">
        <v>1386300</v>
      </c>
      <c r="F494" s="77">
        <v>1386300</v>
      </c>
      <c r="G494" s="79">
        <v>46028</v>
      </c>
      <c r="H494">
        <v>5</v>
      </c>
    </row>
    <row r="495" spans="1:8" hidden="1" x14ac:dyDescent="0.25">
      <c r="A495" s="76">
        <v>46080</v>
      </c>
      <c r="B495" s="78">
        <v>2768</v>
      </c>
      <c r="C495" s="78" t="s">
        <v>26</v>
      </c>
      <c r="D495" t="s">
        <v>295</v>
      </c>
      <c r="E495" s="280">
        <v>537100</v>
      </c>
      <c r="F495" s="77">
        <v>537100</v>
      </c>
      <c r="G495" s="79">
        <v>46073</v>
      </c>
      <c r="H495">
        <v>4</v>
      </c>
    </row>
    <row r="496" spans="1:8" hidden="1" x14ac:dyDescent="0.25">
      <c r="A496" s="76">
        <v>46081</v>
      </c>
      <c r="B496" s="78">
        <v>2517</v>
      </c>
      <c r="C496" s="78" t="s">
        <v>26</v>
      </c>
      <c r="D496" t="s">
        <v>176</v>
      </c>
      <c r="E496" s="280">
        <v>728700</v>
      </c>
      <c r="F496" s="77">
        <v>728700</v>
      </c>
      <c r="G496" s="79">
        <v>46083</v>
      </c>
      <c r="H496">
        <v>8</v>
      </c>
    </row>
    <row r="497" spans="1:8" hidden="1" x14ac:dyDescent="0.25">
      <c r="A497" s="76">
        <v>46081</v>
      </c>
      <c r="B497" s="78">
        <v>2588</v>
      </c>
      <c r="C497" s="78" t="s">
        <v>26</v>
      </c>
      <c r="D497" t="s">
        <v>201</v>
      </c>
      <c r="E497" s="280">
        <v>792000</v>
      </c>
      <c r="F497" s="77">
        <v>524141</v>
      </c>
      <c r="G497" s="79">
        <v>45976</v>
      </c>
      <c r="H497">
        <v>7</v>
      </c>
    </row>
    <row r="498" spans="1:8" hidden="1" x14ac:dyDescent="0.25">
      <c r="A498" s="76">
        <v>46081</v>
      </c>
      <c r="B498" s="78">
        <v>2597</v>
      </c>
      <c r="C498" s="78" t="s">
        <v>26</v>
      </c>
      <c r="D498" t="s">
        <v>204</v>
      </c>
      <c r="E498" s="280">
        <v>578500</v>
      </c>
      <c r="F498" s="77">
        <v>578500</v>
      </c>
      <c r="G498" s="79">
        <v>46083</v>
      </c>
      <c r="H498">
        <v>7</v>
      </c>
    </row>
    <row r="499" spans="1:8" hidden="1" x14ac:dyDescent="0.25">
      <c r="A499" s="76">
        <v>46081</v>
      </c>
      <c r="B499" s="78">
        <v>2674</v>
      </c>
      <c r="C499" s="78" t="s">
        <v>26</v>
      </c>
      <c r="D499" t="s">
        <v>238</v>
      </c>
      <c r="E499" s="280">
        <v>1080900</v>
      </c>
      <c r="F499" s="77">
        <v>1090628</v>
      </c>
      <c r="G499" s="79">
        <v>46090</v>
      </c>
      <c r="H499">
        <v>6</v>
      </c>
    </row>
    <row r="500" spans="1:8" hidden="1" x14ac:dyDescent="0.25">
      <c r="A500" s="76">
        <v>46081</v>
      </c>
      <c r="B500" s="78">
        <v>912</v>
      </c>
      <c r="C500" s="78" t="s">
        <v>240</v>
      </c>
      <c r="D500" t="s">
        <v>241</v>
      </c>
      <c r="E500" s="280">
        <v>605800</v>
      </c>
      <c r="F500" s="77">
        <v>400893</v>
      </c>
      <c r="G500" s="79">
        <v>45996</v>
      </c>
      <c r="H500">
        <v>7</v>
      </c>
    </row>
    <row r="501" spans="1:8" hidden="1" x14ac:dyDescent="0.25">
      <c r="A501" s="76">
        <v>46081</v>
      </c>
      <c r="B501" s="78">
        <v>2777</v>
      </c>
      <c r="C501" s="78" t="s">
        <v>26</v>
      </c>
      <c r="D501" t="s">
        <v>297</v>
      </c>
      <c r="E501" s="280">
        <v>1383100</v>
      </c>
      <c r="F501" s="77">
        <v>1383100</v>
      </c>
      <c r="G501" s="79">
        <v>46087</v>
      </c>
      <c r="H501">
        <v>4</v>
      </c>
    </row>
    <row r="502" spans="1:8" hidden="1" x14ac:dyDescent="0.25">
      <c r="A502" s="76">
        <v>46081</v>
      </c>
      <c r="B502" s="78">
        <v>2835</v>
      </c>
      <c r="C502" s="78" t="s">
        <v>26</v>
      </c>
      <c r="D502" t="s">
        <v>326</v>
      </c>
      <c r="E502" s="280">
        <v>1379900</v>
      </c>
      <c r="F502" s="77">
        <v>1379900</v>
      </c>
      <c r="G502" s="79">
        <v>46027</v>
      </c>
      <c r="H502">
        <v>3</v>
      </c>
    </row>
    <row r="503" spans="1:8" hidden="1" x14ac:dyDescent="0.25">
      <c r="A503" s="76">
        <v>46081</v>
      </c>
      <c r="B503" s="78">
        <v>2936</v>
      </c>
      <c r="C503" s="78" t="s">
        <v>26</v>
      </c>
      <c r="D503" t="s">
        <v>372</v>
      </c>
      <c r="E503" s="280">
        <v>488500</v>
      </c>
      <c r="F503" s="77">
        <v>488500</v>
      </c>
      <c r="G503" s="79">
        <v>46085</v>
      </c>
      <c r="H503">
        <v>2</v>
      </c>
    </row>
    <row r="504" spans="1:8" hidden="1" x14ac:dyDescent="0.25">
      <c r="A504" s="76">
        <v>46081</v>
      </c>
      <c r="B504" s="78">
        <v>2990</v>
      </c>
      <c r="C504" s="78" t="s">
        <v>26</v>
      </c>
      <c r="D504" t="s">
        <v>412</v>
      </c>
      <c r="E504" s="280">
        <v>1028500</v>
      </c>
      <c r="F504" s="77">
        <v>1028500</v>
      </c>
      <c r="G504" s="79">
        <v>46066</v>
      </c>
      <c r="H504">
        <v>1</v>
      </c>
    </row>
    <row r="505" spans="1:8" hidden="1" x14ac:dyDescent="0.25">
      <c r="A505" s="76">
        <v>46081</v>
      </c>
      <c r="B505" s="78">
        <v>2998</v>
      </c>
      <c r="C505" s="78" t="s">
        <v>26</v>
      </c>
      <c r="D505" t="s">
        <v>426</v>
      </c>
      <c r="E505" s="280">
        <v>1034400</v>
      </c>
      <c r="F505" s="77">
        <v>1034400</v>
      </c>
      <c r="G505" s="79">
        <v>46087</v>
      </c>
      <c r="H505">
        <v>1</v>
      </c>
    </row>
    <row r="506" spans="1:8" hidden="1" x14ac:dyDescent="0.25">
      <c r="A506" s="76">
        <v>46081</v>
      </c>
      <c r="B506" s="78">
        <v>3007</v>
      </c>
      <c r="C506" s="78" t="s">
        <v>26</v>
      </c>
      <c r="D506" t="s">
        <v>428</v>
      </c>
      <c r="E506" s="280">
        <v>861400</v>
      </c>
      <c r="F506" s="77">
        <v>861400</v>
      </c>
      <c r="G506" s="79">
        <v>46083</v>
      </c>
      <c r="H506">
        <v>1</v>
      </c>
    </row>
    <row r="507" spans="1:8" hidden="1" x14ac:dyDescent="0.25">
      <c r="A507" s="76">
        <v>46081</v>
      </c>
      <c r="B507" s="78">
        <v>3008</v>
      </c>
      <c r="C507" s="78" t="s">
        <v>26</v>
      </c>
      <c r="D507" t="s">
        <v>430</v>
      </c>
      <c r="E507" s="280">
        <v>813500</v>
      </c>
      <c r="F507" s="77">
        <v>898104</v>
      </c>
      <c r="G507" s="79">
        <v>46185</v>
      </c>
      <c r="H507">
        <v>1</v>
      </c>
    </row>
    <row r="508" spans="1:8" hidden="1" x14ac:dyDescent="0.25">
      <c r="A508" s="76">
        <v>46082</v>
      </c>
      <c r="B508" s="78">
        <v>2311</v>
      </c>
      <c r="C508" s="78" t="s">
        <v>26</v>
      </c>
      <c r="D508" t="s">
        <v>93</v>
      </c>
      <c r="E508" s="280">
        <v>418100</v>
      </c>
      <c r="F508" s="77">
        <v>418100</v>
      </c>
      <c r="G508" s="79">
        <v>46083</v>
      </c>
      <c r="H508">
        <v>11</v>
      </c>
    </row>
    <row r="509" spans="1:8" hidden="1" x14ac:dyDescent="0.25">
      <c r="A509" s="76">
        <v>46082</v>
      </c>
      <c r="B509" s="78">
        <v>2677</v>
      </c>
      <c r="C509" s="78" t="s">
        <v>26</v>
      </c>
      <c r="D509" t="s">
        <v>255</v>
      </c>
      <c r="E509" s="280">
        <v>1033600</v>
      </c>
      <c r="F509" s="77">
        <v>1033600</v>
      </c>
      <c r="G509" s="79">
        <v>46087</v>
      </c>
      <c r="H509">
        <v>6</v>
      </c>
    </row>
    <row r="510" spans="1:8" hidden="1" x14ac:dyDescent="0.25">
      <c r="A510" s="76">
        <v>46082</v>
      </c>
      <c r="B510" s="78">
        <v>2839</v>
      </c>
      <c r="C510" s="78" t="s">
        <v>26</v>
      </c>
      <c r="D510" t="s">
        <v>328</v>
      </c>
      <c r="E510" s="280">
        <v>1376500</v>
      </c>
      <c r="F510" s="77">
        <v>1376500</v>
      </c>
      <c r="G510" s="79">
        <v>46084</v>
      </c>
      <c r="H510">
        <v>3</v>
      </c>
    </row>
    <row r="511" spans="1:8" hidden="1" x14ac:dyDescent="0.25">
      <c r="A511" s="76">
        <v>46082</v>
      </c>
      <c r="B511" s="78">
        <v>1047</v>
      </c>
      <c r="C511" s="78" t="s">
        <v>240</v>
      </c>
      <c r="D511" t="s">
        <v>346</v>
      </c>
      <c r="E511" s="280">
        <v>1360600</v>
      </c>
      <c r="F511" s="77">
        <v>1360600</v>
      </c>
      <c r="G511" s="79">
        <v>46084</v>
      </c>
      <c r="H511">
        <v>3</v>
      </c>
    </row>
    <row r="512" spans="1:8" hidden="1" x14ac:dyDescent="0.25">
      <c r="A512" s="76">
        <v>46084</v>
      </c>
      <c r="B512" s="78">
        <v>2520</v>
      </c>
      <c r="C512" s="78" t="s">
        <v>26</v>
      </c>
      <c r="D512" t="s">
        <v>196</v>
      </c>
      <c r="E512" s="280">
        <v>481700</v>
      </c>
      <c r="F512" s="77">
        <v>481700</v>
      </c>
      <c r="G512" s="79">
        <v>46085</v>
      </c>
      <c r="H512">
        <v>8</v>
      </c>
    </row>
    <row r="513" spans="1:8" hidden="1" x14ac:dyDescent="0.25">
      <c r="A513" s="76">
        <v>46084</v>
      </c>
      <c r="B513" s="78">
        <v>2847</v>
      </c>
      <c r="C513" s="78" t="s">
        <v>26</v>
      </c>
      <c r="D513" t="s">
        <v>330</v>
      </c>
      <c r="E513" s="280">
        <v>419300</v>
      </c>
      <c r="F513" s="77">
        <v>419300</v>
      </c>
      <c r="G513" s="79">
        <v>46085</v>
      </c>
      <c r="H513">
        <v>3</v>
      </c>
    </row>
    <row r="514" spans="1:8" hidden="1" x14ac:dyDescent="0.25">
      <c r="A514" s="76">
        <v>46084</v>
      </c>
      <c r="B514" s="78">
        <v>1054</v>
      </c>
      <c r="C514" s="78" t="s">
        <v>240</v>
      </c>
      <c r="D514" t="s">
        <v>348</v>
      </c>
      <c r="E514" s="280">
        <v>1360600</v>
      </c>
      <c r="F514" s="77">
        <v>1360600</v>
      </c>
      <c r="G514" s="79">
        <v>46015</v>
      </c>
      <c r="H514">
        <v>3</v>
      </c>
    </row>
    <row r="515" spans="1:8" hidden="1" x14ac:dyDescent="0.25">
      <c r="A515" s="76">
        <v>46085</v>
      </c>
      <c r="B515" s="78">
        <v>2745</v>
      </c>
      <c r="C515" s="78" t="s">
        <v>26</v>
      </c>
      <c r="D515" t="s">
        <v>285</v>
      </c>
      <c r="E515" s="280">
        <v>1007800</v>
      </c>
      <c r="F515" s="77">
        <v>1007800</v>
      </c>
      <c r="G515" s="79">
        <v>46084</v>
      </c>
      <c r="H515">
        <v>5</v>
      </c>
    </row>
    <row r="516" spans="1:8" hidden="1" x14ac:dyDescent="0.25">
      <c r="A516" s="76">
        <v>46085</v>
      </c>
      <c r="B516" s="78">
        <v>2849</v>
      </c>
      <c r="C516" s="78" t="s">
        <v>26</v>
      </c>
      <c r="D516" t="s">
        <v>334</v>
      </c>
      <c r="E516" s="280">
        <v>365300</v>
      </c>
      <c r="F516" s="77">
        <v>365300</v>
      </c>
      <c r="G516" s="79">
        <v>46074</v>
      </c>
      <c r="H516">
        <v>3</v>
      </c>
    </row>
    <row r="517" spans="1:8" hidden="1" x14ac:dyDescent="0.25">
      <c r="A517" s="76">
        <v>46085</v>
      </c>
      <c r="B517" s="78">
        <v>2850</v>
      </c>
      <c r="C517" s="78" t="s">
        <v>26</v>
      </c>
      <c r="D517" s="250" t="s">
        <v>332</v>
      </c>
      <c r="E517" s="280">
        <v>615100</v>
      </c>
      <c r="F517" s="77">
        <v>621251</v>
      </c>
      <c r="G517" s="79">
        <v>46095</v>
      </c>
      <c r="H517">
        <v>3</v>
      </c>
    </row>
    <row r="518" spans="1:8" hidden="1" x14ac:dyDescent="0.25">
      <c r="A518" s="76">
        <v>46086</v>
      </c>
      <c r="B518" s="78">
        <v>2246</v>
      </c>
      <c r="C518" s="78" t="s">
        <v>26</v>
      </c>
      <c r="D518" t="s">
        <v>82</v>
      </c>
      <c r="E518" s="280">
        <v>636400</v>
      </c>
      <c r="F518" s="77">
        <v>636400</v>
      </c>
      <c r="G518" s="79">
        <v>46027</v>
      </c>
      <c r="H518">
        <v>12</v>
      </c>
    </row>
    <row r="519" spans="1:8" hidden="1" x14ac:dyDescent="0.25">
      <c r="A519" s="76">
        <v>46086</v>
      </c>
      <c r="B519" s="78">
        <v>2382</v>
      </c>
      <c r="C519" s="78" t="s">
        <v>26</v>
      </c>
      <c r="D519" t="s">
        <v>119</v>
      </c>
      <c r="E519" s="280">
        <v>581200</v>
      </c>
      <c r="F519" s="77">
        <v>524178</v>
      </c>
      <c r="G519" s="79">
        <v>45980</v>
      </c>
      <c r="H519">
        <v>10</v>
      </c>
    </row>
    <row r="520" spans="1:8" hidden="1" x14ac:dyDescent="0.25">
      <c r="A520" s="76">
        <v>46086</v>
      </c>
      <c r="B520" s="78">
        <v>2463</v>
      </c>
      <c r="C520" s="78" t="s">
        <v>26</v>
      </c>
      <c r="D520" t="s">
        <v>151</v>
      </c>
      <c r="E520" s="280">
        <v>782600</v>
      </c>
      <c r="F520" s="77">
        <v>681979</v>
      </c>
      <c r="G520" s="79">
        <v>46041</v>
      </c>
      <c r="H520">
        <v>9</v>
      </c>
    </row>
    <row r="521" spans="1:8" hidden="1" x14ac:dyDescent="0.25">
      <c r="A521" s="76">
        <v>46087</v>
      </c>
      <c r="B521" s="78">
        <v>2691</v>
      </c>
      <c r="C521" s="78" t="s">
        <v>26</v>
      </c>
      <c r="D521" t="s">
        <v>257</v>
      </c>
      <c r="E521" s="280">
        <v>1949300</v>
      </c>
      <c r="F521" s="77">
        <v>1949300</v>
      </c>
      <c r="G521" s="79">
        <v>46081</v>
      </c>
      <c r="H521">
        <v>6</v>
      </c>
    </row>
    <row r="522" spans="1:8" hidden="1" x14ac:dyDescent="0.25">
      <c r="A522" s="76">
        <v>46087</v>
      </c>
      <c r="B522" s="78">
        <v>2858</v>
      </c>
      <c r="C522" s="78" t="s">
        <v>26</v>
      </c>
      <c r="D522" t="s">
        <v>336</v>
      </c>
      <c r="E522" s="280">
        <v>779300</v>
      </c>
      <c r="F522" s="77">
        <v>779300</v>
      </c>
      <c r="G522" s="79">
        <v>46088</v>
      </c>
      <c r="H522">
        <v>3</v>
      </c>
    </row>
    <row r="523" spans="1:8" hidden="1" x14ac:dyDescent="0.25">
      <c r="A523" s="76">
        <v>46087</v>
      </c>
      <c r="B523" s="78">
        <v>2948</v>
      </c>
      <c r="C523" s="78" t="s">
        <v>26</v>
      </c>
      <c r="D523" t="s">
        <v>379</v>
      </c>
      <c r="E523" s="280">
        <v>298000</v>
      </c>
      <c r="F523" s="77">
        <v>298000</v>
      </c>
      <c r="G523" s="79">
        <v>46086</v>
      </c>
      <c r="H523">
        <v>2</v>
      </c>
    </row>
    <row r="524" spans="1:8" hidden="1" x14ac:dyDescent="0.25">
      <c r="A524" s="76">
        <v>46088</v>
      </c>
      <c r="B524" s="78">
        <v>2249</v>
      </c>
      <c r="C524" s="78" t="s">
        <v>26</v>
      </c>
      <c r="D524" t="s">
        <v>88</v>
      </c>
      <c r="E524" s="280">
        <v>1060500</v>
      </c>
      <c r="F524" s="77">
        <v>1060500</v>
      </c>
      <c r="G524" s="79">
        <v>46092</v>
      </c>
      <c r="H524">
        <v>12</v>
      </c>
    </row>
    <row r="525" spans="1:8" hidden="1" x14ac:dyDescent="0.25">
      <c r="A525" s="76">
        <v>46089</v>
      </c>
      <c r="B525" s="78">
        <v>2255</v>
      </c>
      <c r="C525" s="78" t="s">
        <v>26</v>
      </c>
      <c r="D525" t="s">
        <v>85</v>
      </c>
      <c r="E525" s="280">
        <v>570600</v>
      </c>
      <c r="F525" s="77">
        <v>632225</v>
      </c>
      <c r="G525" s="79">
        <v>46197</v>
      </c>
      <c r="H525">
        <v>12</v>
      </c>
    </row>
    <row r="526" spans="1:8" hidden="1" x14ac:dyDescent="0.25">
      <c r="A526" s="76">
        <v>46089</v>
      </c>
      <c r="B526" s="78">
        <v>2860</v>
      </c>
      <c r="C526" s="78" t="s">
        <v>26</v>
      </c>
      <c r="D526" t="s">
        <v>338</v>
      </c>
      <c r="E526" s="280">
        <v>1218500</v>
      </c>
      <c r="F526" s="77">
        <v>1218500</v>
      </c>
      <c r="G526" s="79">
        <v>46093</v>
      </c>
      <c r="H526">
        <v>3</v>
      </c>
    </row>
    <row r="527" spans="1:8" hidden="1" x14ac:dyDescent="0.25">
      <c r="A527" s="76">
        <v>46090</v>
      </c>
      <c r="B527" s="78">
        <v>2620</v>
      </c>
      <c r="C527" s="78" t="s">
        <v>26</v>
      </c>
      <c r="D527" t="s">
        <v>232</v>
      </c>
      <c r="E527" s="280">
        <v>780600</v>
      </c>
      <c r="F527" s="77">
        <v>796993</v>
      </c>
      <c r="G527" s="79">
        <v>46111</v>
      </c>
      <c r="H527">
        <v>7</v>
      </c>
    </row>
    <row r="528" spans="1:8" hidden="1" x14ac:dyDescent="0.25">
      <c r="A528" s="76">
        <v>46090</v>
      </c>
      <c r="B528" s="78">
        <v>883</v>
      </c>
      <c r="C528" s="78" t="s">
        <v>240</v>
      </c>
      <c r="D528" t="s">
        <v>243</v>
      </c>
      <c r="E528" s="280">
        <v>287300</v>
      </c>
      <c r="F528" s="77">
        <v>287300</v>
      </c>
      <c r="G528" s="79">
        <v>46094</v>
      </c>
      <c r="H528">
        <v>8</v>
      </c>
    </row>
    <row r="529" spans="1:8" hidden="1" x14ac:dyDescent="0.25">
      <c r="A529" s="76">
        <v>46090</v>
      </c>
      <c r="B529" s="78">
        <v>2861</v>
      </c>
      <c r="C529" s="78" t="s">
        <v>26</v>
      </c>
      <c r="D529" t="s">
        <v>340</v>
      </c>
      <c r="E529" s="280">
        <v>308200</v>
      </c>
      <c r="F529" s="77">
        <v>308200</v>
      </c>
      <c r="G529" s="79">
        <v>46080</v>
      </c>
      <c r="H529">
        <v>3</v>
      </c>
    </row>
    <row r="530" spans="1:8" hidden="1" x14ac:dyDescent="0.25">
      <c r="A530" s="76">
        <v>46090</v>
      </c>
      <c r="B530" s="78">
        <v>1059</v>
      </c>
      <c r="C530" s="78" t="s">
        <v>240</v>
      </c>
      <c r="D530" t="s">
        <v>350</v>
      </c>
      <c r="E530" s="280">
        <v>1313700</v>
      </c>
      <c r="F530" s="77">
        <v>1313700</v>
      </c>
      <c r="G530" s="79">
        <v>46000</v>
      </c>
      <c r="H530">
        <v>3</v>
      </c>
    </row>
    <row r="531" spans="1:8" hidden="1" x14ac:dyDescent="0.25">
      <c r="A531" s="76">
        <v>46091</v>
      </c>
      <c r="B531" s="78">
        <v>2399</v>
      </c>
      <c r="C531" s="78" t="s">
        <v>26</v>
      </c>
      <c r="D531" t="s">
        <v>121</v>
      </c>
      <c r="E531" s="280">
        <v>564700</v>
      </c>
      <c r="F531" s="77">
        <v>564700</v>
      </c>
      <c r="G531" s="79">
        <v>46063</v>
      </c>
      <c r="H531">
        <v>10</v>
      </c>
    </row>
    <row r="532" spans="1:8" x14ac:dyDescent="0.25">
      <c r="A532" s="76">
        <v>46091</v>
      </c>
      <c r="B532" s="78">
        <v>2473</v>
      </c>
      <c r="C532" s="78" t="s">
        <v>26</v>
      </c>
      <c r="D532" t="s">
        <v>164</v>
      </c>
      <c r="E532" s="280">
        <v>1002083</v>
      </c>
      <c r="H532">
        <v>9</v>
      </c>
    </row>
    <row r="533" spans="1:8" hidden="1" x14ac:dyDescent="0.25">
      <c r="A533" s="76">
        <v>46091</v>
      </c>
      <c r="B533" s="78">
        <v>2864</v>
      </c>
      <c r="C533" s="78" t="s">
        <v>26</v>
      </c>
      <c r="D533" t="s">
        <v>344</v>
      </c>
      <c r="E533" s="280">
        <v>1376500</v>
      </c>
      <c r="F533" s="77">
        <v>1376500</v>
      </c>
      <c r="G533" s="79">
        <v>46092</v>
      </c>
      <c r="H533">
        <v>3</v>
      </c>
    </row>
    <row r="534" spans="1:8" hidden="1" x14ac:dyDescent="0.25">
      <c r="A534" s="76">
        <v>46095</v>
      </c>
      <c r="B534" s="78">
        <v>2405</v>
      </c>
      <c r="C534" s="78" t="s">
        <v>26</v>
      </c>
      <c r="D534" t="s">
        <v>129</v>
      </c>
      <c r="E534" s="280">
        <v>418100</v>
      </c>
      <c r="F534" s="77">
        <v>418100</v>
      </c>
      <c r="G534" s="79">
        <v>46094</v>
      </c>
      <c r="H534">
        <v>10</v>
      </c>
    </row>
    <row r="535" spans="1:8" hidden="1" x14ac:dyDescent="0.25">
      <c r="A535" s="76">
        <v>46097</v>
      </c>
      <c r="B535" s="78">
        <v>2878</v>
      </c>
      <c r="C535" s="78" t="s">
        <v>26</v>
      </c>
      <c r="D535" t="s">
        <v>361</v>
      </c>
      <c r="E535" s="280">
        <v>965900</v>
      </c>
      <c r="F535" s="77">
        <v>965900</v>
      </c>
      <c r="G535" s="79">
        <v>46100</v>
      </c>
      <c r="H535">
        <v>3</v>
      </c>
    </row>
    <row r="536" spans="1:8" hidden="1" x14ac:dyDescent="0.25">
      <c r="A536" s="76">
        <v>46098</v>
      </c>
      <c r="B536" s="78">
        <v>2566</v>
      </c>
      <c r="C536" s="78" t="s">
        <v>26</v>
      </c>
      <c r="D536" t="s">
        <v>200</v>
      </c>
      <c r="E536" s="280">
        <v>790200</v>
      </c>
      <c r="F536" s="77">
        <v>790200</v>
      </c>
      <c r="G536" s="79">
        <v>45904</v>
      </c>
      <c r="H536">
        <v>8</v>
      </c>
    </row>
    <row r="537" spans="1:8" hidden="1" x14ac:dyDescent="0.25">
      <c r="A537" s="76">
        <v>46098</v>
      </c>
      <c r="B537" s="78">
        <v>2967</v>
      </c>
      <c r="C537" s="78" t="s">
        <v>26</v>
      </c>
      <c r="D537" t="s">
        <v>396</v>
      </c>
      <c r="E537" s="280">
        <v>989800</v>
      </c>
      <c r="F537" s="77">
        <v>989800</v>
      </c>
      <c r="G537" s="79">
        <v>46088</v>
      </c>
      <c r="H537">
        <v>2</v>
      </c>
    </row>
    <row r="538" spans="1:8" hidden="1" x14ac:dyDescent="0.25">
      <c r="A538" s="76">
        <v>46098</v>
      </c>
      <c r="B538" s="78">
        <v>2968</v>
      </c>
      <c r="C538" s="78" t="s">
        <v>26</v>
      </c>
      <c r="D538" t="s">
        <v>398</v>
      </c>
      <c r="E538" s="280">
        <v>452200</v>
      </c>
      <c r="F538" s="77">
        <v>452200</v>
      </c>
      <c r="G538" s="79">
        <v>46097</v>
      </c>
      <c r="H538">
        <v>2</v>
      </c>
    </row>
    <row r="539" spans="1:8" hidden="1" x14ac:dyDescent="0.25">
      <c r="A539" s="76">
        <v>46099</v>
      </c>
      <c r="B539" s="78">
        <v>2493</v>
      </c>
      <c r="C539" s="78" t="s">
        <v>26</v>
      </c>
      <c r="D539" t="s">
        <v>166</v>
      </c>
      <c r="E539" s="280">
        <v>328300</v>
      </c>
      <c r="F539" s="77">
        <v>335523</v>
      </c>
      <c r="G539" s="79">
        <v>46121</v>
      </c>
      <c r="H539">
        <v>9</v>
      </c>
    </row>
    <row r="540" spans="1:8" hidden="1" x14ac:dyDescent="0.25">
      <c r="A540" s="76">
        <v>46100</v>
      </c>
      <c r="B540" s="78">
        <v>2494</v>
      </c>
      <c r="C540" s="78" t="s">
        <v>26</v>
      </c>
      <c r="D540" t="s">
        <v>168</v>
      </c>
      <c r="E540" s="280">
        <v>425600</v>
      </c>
      <c r="F540" s="77">
        <v>425600</v>
      </c>
      <c r="G540" s="79">
        <v>46070</v>
      </c>
      <c r="H540">
        <v>9</v>
      </c>
    </row>
    <row r="541" spans="1:8" x14ac:dyDescent="0.25">
      <c r="A541" s="76">
        <v>46099</v>
      </c>
      <c r="B541" s="78">
        <v>3060</v>
      </c>
      <c r="C541" s="78" t="s">
        <v>26</v>
      </c>
      <c r="D541" t="s">
        <v>432</v>
      </c>
      <c r="E541" s="280">
        <v>623600</v>
      </c>
      <c r="H541">
        <v>1</v>
      </c>
    </row>
    <row r="542" spans="1:8" hidden="1" x14ac:dyDescent="0.25">
      <c r="A542" s="76">
        <v>46100</v>
      </c>
      <c r="B542" s="78">
        <v>2637</v>
      </c>
      <c r="C542" s="78" t="s">
        <v>26</v>
      </c>
      <c r="D542" t="s">
        <v>221</v>
      </c>
      <c r="E542" s="280">
        <v>663300</v>
      </c>
      <c r="F542" s="77">
        <v>668606</v>
      </c>
      <c r="G542" s="79">
        <v>46108</v>
      </c>
      <c r="H542">
        <v>7</v>
      </c>
    </row>
    <row r="543" spans="1:8" ht="15" hidden="1" customHeight="1" x14ac:dyDescent="0.25">
      <c r="A543" s="76">
        <v>46100</v>
      </c>
      <c r="B543" s="78">
        <v>2810</v>
      </c>
      <c r="C543" s="78" t="s">
        <v>26</v>
      </c>
      <c r="D543" t="s">
        <v>318</v>
      </c>
      <c r="E543" s="280">
        <v>557500</v>
      </c>
      <c r="F543" s="77">
        <v>568650</v>
      </c>
      <c r="G543" s="79">
        <v>46120</v>
      </c>
      <c r="H543">
        <v>4</v>
      </c>
    </row>
    <row r="544" spans="1:8" hidden="1" x14ac:dyDescent="0.25">
      <c r="A544" s="76">
        <v>46100</v>
      </c>
      <c r="B544" s="78">
        <v>1110</v>
      </c>
      <c r="C544" s="78" t="s">
        <v>240</v>
      </c>
      <c r="D544" t="s">
        <v>419</v>
      </c>
      <c r="E544" s="280">
        <v>751300</v>
      </c>
      <c r="F544" s="77">
        <v>751300</v>
      </c>
      <c r="G544" s="79">
        <v>46095</v>
      </c>
      <c r="H544">
        <v>2</v>
      </c>
    </row>
    <row r="545" spans="1:8" hidden="1" x14ac:dyDescent="0.25">
      <c r="A545" s="76">
        <v>46100</v>
      </c>
      <c r="B545" s="78">
        <v>3062</v>
      </c>
      <c r="C545" s="78" t="s">
        <v>26</v>
      </c>
      <c r="D545" t="s">
        <v>435</v>
      </c>
      <c r="E545" s="280">
        <v>452200</v>
      </c>
      <c r="F545" s="77">
        <v>452200</v>
      </c>
      <c r="G545" s="79">
        <v>46093</v>
      </c>
      <c r="H545">
        <v>1</v>
      </c>
    </row>
    <row r="546" spans="1:8" hidden="1" x14ac:dyDescent="0.25">
      <c r="A546" s="76">
        <v>46101</v>
      </c>
      <c r="B546" s="78">
        <v>2498</v>
      </c>
      <c r="C546" s="78" t="s">
        <v>26</v>
      </c>
      <c r="D546" t="s">
        <v>153</v>
      </c>
      <c r="E546" s="280">
        <v>904200</v>
      </c>
      <c r="F546" s="77">
        <v>914146</v>
      </c>
      <c r="G546" s="79">
        <v>46112</v>
      </c>
      <c r="H546">
        <v>9</v>
      </c>
    </row>
    <row r="547" spans="1:8" x14ac:dyDescent="0.25">
      <c r="A547" s="76">
        <v>46101</v>
      </c>
      <c r="B547" s="78">
        <v>2640</v>
      </c>
      <c r="C547" s="78" t="s">
        <v>26</v>
      </c>
      <c r="D547" t="s">
        <v>234</v>
      </c>
      <c r="E547" s="280">
        <v>789900</v>
      </c>
      <c r="F547" s="282">
        <v>100304</v>
      </c>
      <c r="G547" s="79">
        <v>46212</v>
      </c>
      <c r="H547">
        <v>7</v>
      </c>
    </row>
    <row r="548" spans="1:8" hidden="1" x14ac:dyDescent="0.25">
      <c r="A548" s="76">
        <v>46101</v>
      </c>
      <c r="B548" s="78">
        <v>2973</v>
      </c>
      <c r="C548" s="78" t="s">
        <v>26</v>
      </c>
      <c r="D548" t="s">
        <v>400</v>
      </c>
      <c r="E548" s="280">
        <v>696400</v>
      </c>
      <c r="F548" s="77">
        <v>696400</v>
      </c>
      <c r="G548" s="79">
        <v>46100</v>
      </c>
      <c r="H548">
        <v>2</v>
      </c>
    </row>
    <row r="549" spans="1:8" hidden="1" x14ac:dyDescent="0.25">
      <c r="A549" s="76">
        <v>46101</v>
      </c>
      <c r="B549" s="78">
        <v>1111</v>
      </c>
      <c r="C549" s="78" t="s">
        <v>240</v>
      </c>
      <c r="D549" t="s">
        <v>422</v>
      </c>
      <c r="E549" s="280">
        <v>1360600</v>
      </c>
      <c r="F549" s="77">
        <v>1360600</v>
      </c>
      <c r="G549" s="79">
        <v>46102</v>
      </c>
      <c r="H549">
        <v>2</v>
      </c>
    </row>
    <row r="550" spans="1:8" hidden="1" x14ac:dyDescent="0.25">
      <c r="A550" s="76">
        <v>46101</v>
      </c>
      <c r="B550" s="78">
        <v>3068</v>
      </c>
      <c r="C550" s="78" t="s">
        <v>26</v>
      </c>
      <c r="D550" t="s">
        <v>437</v>
      </c>
      <c r="E550" s="280">
        <v>450400</v>
      </c>
      <c r="F550" s="77">
        <v>450400</v>
      </c>
      <c r="G550" s="79">
        <v>46100</v>
      </c>
      <c r="H550">
        <v>1</v>
      </c>
    </row>
    <row r="551" spans="1:8" hidden="1" x14ac:dyDescent="0.25">
      <c r="A551" s="76">
        <v>46102</v>
      </c>
      <c r="B551" s="78">
        <v>2344</v>
      </c>
      <c r="C551" s="78" t="s">
        <v>26</v>
      </c>
      <c r="D551" t="s">
        <v>109</v>
      </c>
      <c r="E551" s="280">
        <v>317700</v>
      </c>
      <c r="F551" s="77">
        <v>317700</v>
      </c>
      <c r="G551" s="79">
        <v>46106</v>
      </c>
      <c r="H551">
        <v>11</v>
      </c>
    </row>
    <row r="552" spans="1:8" hidden="1" x14ac:dyDescent="0.25">
      <c r="A552" s="76">
        <v>46102</v>
      </c>
      <c r="B552" s="78">
        <v>2425</v>
      </c>
      <c r="C552" s="78" t="s">
        <v>26</v>
      </c>
      <c r="D552" t="s">
        <v>131</v>
      </c>
      <c r="E552" s="280">
        <v>534800</v>
      </c>
      <c r="F552" s="77">
        <v>534800</v>
      </c>
      <c r="G552" s="79">
        <v>46088</v>
      </c>
      <c r="H552">
        <v>10</v>
      </c>
    </row>
    <row r="553" spans="1:8" hidden="1" x14ac:dyDescent="0.25">
      <c r="A553" s="76">
        <v>46102</v>
      </c>
      <c r="B553" s="78">
        <v>2500</v>
      </c>
      <c r="C553" s="78" t="s">
        <v>26</v>
      </c>
      <c r="D553" t="s">
        <v>155</v>
      </c>
      <c r="E553" s="280">
        <v>600000</v>
      </c>
      <c r="F553" s="77">
        <v>600000</v>
      </c>
      <c r="G553" s="79">
        <v>46101</v>
      </c>
      <c r="H553">
        <v>9</v>
      </c>
    </row>
    <row r="554" spans="1:8" hidden="1" x14ac:dyDescent="0.25">
      <c r="A554" s="76">
        <v>46102</v>
      </c>
      <c r="B554" s="78">
        <v>2501</v>
      </c>
      <c r="C554" s="78" t="s">
        <v>26</v>
      </c>
      <c r="D554" t="s">
        <v>157</v>
      </c>
      <c r="E554" s="280">
        <v>325300</v>
      </c>
      <c r="F554" s="77">
        <v>325300</v>
      </c>
      <c r="G554" s="79">
        <v>46105</v>
      </c>
      <c r="H554">
        <v>9</v>
      </c>
    </row>
    <row r="555" spans="1:8" hidden="1" x14ac:dyDescent="0.25">
      <c r="A555" s="76">
        <v>46102</v>
      </c>
      <c r="B555" s="78">
        <v>2505</v>
      </c>
      <c r="C555" s="78" t="s">
        <v>26</v>
      </c>
      <c r="D555" t="s">
        <v>170</v>
      </c>
      <c r="E555" s="280">
        <v>901600</v>
      </c>
      <c r="F555" s="77">
        <v>901600</v>
      </c>
      <c r="G555" s="79">
        <v>46113</v>
      </c>
      <c r="H555">
        <v>9</v>
      </c>
    </row>
    <row r="556" spans="1:8" hidden="1" x14ac:dyDescent="0.25">
      <c r="A556" s="76">
        <v>46102</v>
      </c>
      <c r="B556" s="78">
        <v>1112</v>
      </c>
      <c r="C556" s="78" t="s">
        <v>240</v>
      </c>
      <c r="D556" t="s">
        <v>467</v>
      </c>
      <c r="E556" s="280">
        <v>649000</v>
      </c>
      <c r="F556" s="77">
        <v>649000</v>
      </c>
      <c r="G556" s="79">
        <v>46106</v>
      </c>
      <c r="H556">
        <v>2</v>
      </c>
    </row>
    <row r="557" spans="1:8" hidden="1" x14ac:dyDescent="0.25">
      <c r="A557" s="76">
        <v>46103</v>
      </c>
      <c r="B557" s="78">
        <v>2280</v>
      </c>
      <c r="C557" s="78" t="s">
        <v>26</v>
      </c>
      <c r="D557" t="s">
        <v>98</v>
      </c>
      <c r="E557" s="280">
        <v>433600</v>
      </c>
      <c r="F557" s="77">
        <v>443573</v>
      </c>
      <c r="G557" s="79">
        <v>46126</v>
      </c>
      <c r="H557">
        <v>12</v>
      </c>
    </row>
    <row r="558" spans="1:8" hidden="1" x14ac:dyDescent="0.25">
      <c r="A558" s="76">
        <v>46103</v>
      </c>
      <c r="B558" s="78">
        <v>2282</v>
      </c>
      <c r="C558" s="78" t="s">
        <v>26</v>
      </c>
      <c r="D558" t="s">
        <v>97</v>
      </c>
      <c r="E558" s="280">
        <v>480300</v>
      </c>
      <c r="F558" s="77">
        <v>480300</v>
      </c>
      <c r="G558" s="79">
        <v>46060</v>
      </c>
      <c r="H558">
        <v>12</v>
      </c>
    </row>
    <row r="559" spans="1:8" hidden="1" x14ac:dyDescent="0.25">
      <c r="A559" s="76">
        <v>46103</v>
      </c>
      <c r="B559" s="78">
        <v>2346</v>
      </c>
      <c r="C559" s="78" t="s">
        <v>26</v>
      </c>
      <c r="D559" t="s">
        <v>111</v>
      </c>
      <c r="E559" s="280">
        <v>656200</v>
      </c>
      <c r="F559" s="77">
        <v>656200</v>
      </c>
      <c r="G559" s="79">
        <v>46104</v>
      </c>
      <c r="H559">
        <v>11</v>
      </c>
    </row>
    <row r="560" spans="1:8" hidden="1" x14ac:dyDescent="0.25">
      <c r="A560" s="76">
        <v>46104</v>
      </c>
      <c r="B560" s="78">
        <v>2348</v>
      </c>
      <c r="C560" s="78" t="s">
        <v>26</v>
      </c>
      <c r="D560" t="s">
        <v>113</v>
      </c>
      <c r="E560" s="280">
        <v>393500</v>
      </c>
      <c r="F560" s="77">
        <v>298820</v>
      </c>
      <c r="G560" s="79">
        <v>45891</v>
      </c>
      <c r="H560">
        <v>11</v>
      </c>
    </row>
    <row r="561" spans="1:8" hidden="1" x14ac:dyDescent="0.25">
      <c r="A561" s="76">
        <v>46104</v>
      </c>
      <c r="B561" s="78">
        <v>2721</v>
      </c>
      <c r="C561" s="78" t="s">
        <v>26</v>
      </c>
      <c r="D561" t="s">
        <v>267</v>
      </c>
      <c r="E561" s="280">
        <v>1571700</v>
      </c>
      <c r="F561" s="77">
        <v>1571700</v>
      </c>
      <c r="G561" s="79">
        <v>46101</v>
      </c>
      <c r="H561">
        <v>6</v>
      </c>
    </row>
    <row r="562" spans="1:8" hidden="1" x14ac:dyDescent="0.25">
      <c r="A562" s="76">
        <v>46105</v>
      </c>
      <c r="B562" s="78">
        <v>2431</v>
      </c>
      <c r="C562" s="78" t="s">
        <v>26</v>
      </c>
      <c r="D562" t="s">
        <v>149</v>
      </c>
      <c r="E562" s="280">
        <v>313900</v>
      </c>
      <c r="F562" s="77">
        <v>313900</v>
      </c>
      <c r="G562" s="79">
        <v>46111</v>
      </c>
      <c r="H562">
        <v>10</v>
      </c>
    </row>
    <row r="563" spans="1:8" hidden="1" x14ac:dyDescent="0.25">
      <c r="A563" s="76">
        <v>46105</v>
      </c>
      <c r="B563" s="78">
        <v>2764</v>
      </c>
      <c r="C563" s="78" t="s">
        <v>26</v>
      </c>
      <c r="D563" t="s">
        <v>299</v>
      </c>
      <c r="E563" s="280">
        <v>1526600</v>
      </c>
      <c r="F563" s="77">
        <v>1526600</v>
      </c>
      <c r="G563" s="79">
        <v>46101</v>
      </c>
      <c r="H563">
        <v>5</v>
      </c>
    </row>
    <row r="564" spans="1:8" hidden="1" x14ac:dyDescent="0.25">
      <c r="A564" s="76">
        <v>46105</v>
      </c>
      <c r="B564" s="78">
        <v>2817</v>
      </c>
      <c r="C564" s="78" t="s">
        <v>26</v>
      </c>
      <c r="D564" t="s">
        <v>320</v>
      </c>
      <c r="E564" s="280">
        <v>841000</v>
      </c>
      <c r="F564" s="77">
        <v>855297</v>
      </c>
      <c r="G564" s="79">
        <v>46122</v>
      </c>
      <c r="H564">
        <v>4</v>
      </c>
    </row>
    <row r="565" spans="1:8" hidden="1" x14ac:dyDescent="0.25">
      <c r="A565" s="76">
        <v>46105</v>
      </c>
      <c r="B565" s="78">
        <v>2909</v>
      </c>
      <c r="C565" s="78" t="s">
        <v>26</v>
      </c>
      <c r="D565" t="s">
        <v>363</v>
      </c>
      <c r="E565" s="280">
        <v>1421200</v>
      </c>
      <c r="F565" s="77">
        <v>1421200</v>
      </c>
      <c r="G565" s="79">
        <v>46105</v>
      </c>
      <c r="H565">
        <v>3</v>
      </c>
    </row>
    <row r="566" spans="1:8" hidden="1" x14ac:dyDescent="0.25">
      <c r="A566" s="76">
        <v>46105</v>
      </c>
      <c r="B566" s="78">
        <v>2913</v>
      </c>
      <c r="C566" s="78" t="s">
        <v>26</v>
      </c>
      <c r="D566" t="s">
        <v>365</v>
      </c>
      <c r="E566" s="280">
        <v>588800</v>
      </c>
      <c r="F566" s="77">
        <v>588800</v>
      </c>
      <c r="G566" s="79">
        <v>46105</v>
      </c>
      <c r="H566">
        <v>3</v>
      </c>
    </row>
    <row r="567" spans="1:8" hidden="1" x14ac:dyDescent="0.25">
      <c r="A567" s="76">
        <v>46106</v>
      </c>
      <c r="B567" s="78">
        <v>2511</v>
      </c>
      <c r="C567" s="78" t="s">
        <v>26</v>
      </c>
      <c r="D567" t="s">
        <v>171</v>
      </c>
      <c r="E567" s="280">
        <v>712300</v>
      </c>
      <c r="F567" s="77">
        <v>726546</v>
      </c>
      <c r="G567" s="79">
        <v>46126</v>
      </c>
      <c r="H567">
        <v>9</v>
      </c>
    </row>
    <row r="568" spans="1:8" hidden="1" x14ac:dyDescent="0.25">
      <c r="A568" s="76">
        <v>46106</v>
      </c>
      <c r="B568" s="78">
        <v>2825</v>
      </c>
      <c r="C568" s="78" t="s">
        <v>26</v>
      </c>
      <c r="D568" t="s">
        <v>322</v>
      </c>
      <c r="E568" s="280">
        <v>619100</v>
      </c>
      <c r="F568" s="77">
        <v>619100</v>
      </c>
      <c r="G568" s="79">
        <v>46091</v>
      </c>
      <c r="H568">
        <v>4</v>
      </c>
    </row>
    <row r="569" spans="1:8" hidden="1" x14ac:dyDescent="0.25">
      <c r="A569" s="76">
        <v>46106</v>
      </c>
      <c r="B569" s="78">
        <v>2826</v>
      </c>
      <c r="C569" s="78" t="s">
        <v>26</v>
      </c>
      <c r="D569" t="s">
        <v>324</v>
      </c>
      <c r="E569" s="280">
        <v>1379900</v>
      </c>
      <c r="F569" s="77">
        <v>1379900</v>
      </c>
      <c r="G569" s="79">
        <v>46106</v>
      </c>
      <c r="H569">
        <v>4</v>
      </c>
    </row>
    <row r="570" spans="1:8" hidden="1" x14ac:dyDescent="0.25">
      <c r="A570" s="76">
        <v>46106</v>
      </c>
      <c r="B570" s="78">
        <v>2828</v>
      </c>
      <c r="C570" s="78" t="s">
        <v>26</v>
      </c>
      <c r="D570" t="s">
        <v>309</v>
      </c>
      <c r="E570" s="280">
        <v>441300</v>
      </c>
      <c r="F570" s="77">
        <v>441300</v>
      </c>
      <c r="G570" s="79">
        <v>46106</v>
      </c>
      <c r="H570">
        <v>4</v>
      </c>
    </row>
    <row r="571" spans="1:8" hidden="1" x14ac:dyDescent="0.25">
      <c r="A571" s="76">
        <v>46107</v>
      </c>
      <c r="B571" s="78">
        <v>2290</v>
      </c>
      <c r="C571" s="78" t="s">
        <v>26</v>
      </c>
      <c r="D571" t="s">
        <v>95</v>
      </c>
      <c r="E571" s="280">
        <v>629900</v>
      </c>
      <c r="F571" s="77">
        <v>655726</v>
      </c>
      <c r="G571" s="79">
        <v>46148</v>
      </c>
      <c r="H571">
        <v>12</v>
      </c>
    </row>
    <row r="572" spans="1:8" hidden="1" x14ac:dyDescent="0.25">
      <c r="A572" s="76">
        <v>46107</v>
      </c>
      <c r="B572" s="78">
        <v>2354</v>
      </c>
      <c r="C572" s="78" t="s">
        <v>26</v>
      </c>
      <c r="D572" t="s">
        <v>117</v>
      </c>
      <c r="E572" s="280">
        <v>867300</v>
      </c>
      <c r="F572" s="77">
        <v>867300</v>
      </c>
      <c r="G572" s="79">
        <v>45936</v>
      </c>
      <c r="H572">
        <v>11</v>
      </c>
    </row>
    <row r="573" spans="1:8" hidden="1" x14ac:dyDescent="0.25">
      <c r="A573" s="76">
        <v>46107</v>
      </c>
      <c r="B573" s="78">
        <v>2515</v>
      </c>
      <c r="C573" s="78" t="s">
        <v>26</v>
      </c>
      <c r="D573" t="s">
        <v>174</v>
      </c>
      <c r="E573" s="280">
        <v>804500</v>
      </c>
      <c r="F573" s="77">
        <v>804500</v>
      </c>
      <c r="G573" s="79">
        <v>46113</v>
      </c>
      <c r="H573">
        <v>9</v>
      </c>
    </row>
    <row r="574" spans="1:8" hidden="1" x14ac:dyDescent="0.25">
      <c r="A574" s="76">
        <v>46107</v>
      </c>
      <c r="B574" s="78">
        <v>2919</v>
      </c>
      <c r="C574" s="78" t="s">
        <v>26</v>
      </c>
      <c r="D574" t="s">
        <v>369</v>
      </c>
      <c r="E574" s="280">
        <v>440800</v>
      </c>
      <c r="F574" s="77">
        <v>440800</v>
      </c>
      <c r="G574" s="79">
        <v>46094</v>
      </c>
      <c r="H574">
        <v>3</v>
      </c>
    </row>
    <row r="575" spans="1:8" hidden="1" x14ac:dyDescent="0.25">
      <c r="A575" s="76">
        <v>46107</v>
      </c>
      <c r="B575" s="78">
        <v>2921</v>
      </c>
      <c r="C575" s="78" t="s">
        <v>26</v>
      </c>
      <c r="D575" t="s">
        <v>367</v>
      </c>
      <c r="E575" s="280">
        <v>1091100</v>
      </c>
      <c r="F575" s="77">
        <v>1091100</v>
      </c>
      <c r="G575" s="79">
        <v>46106</v>
      </c>
      <c r="H575">
        <v>3</v>
      </c>
    </row>
    <row r="576" spans="1:8" hidden="1" x14ac:dyDescent="0.25">
      <c r="A576" s="76">
        <v>46108</v>
      </c>
      <c r="B576" s="78">
        <v>2662</v>
      </c>
      <c r="C576" s="78" t="s">
        <v>26</v>
      </c>
      <c r="D576" t="s">
        <v>236</v>
      </c>
      <c r="E576" s="280">
        <v>869800</v>
      </c>
      <c r="F576" s="77">
        <v>949822</v>
      </c>
      <c r="G576" s="79">
        <v>46200</v>
      </c>
      <c r="H576">
        <v>7</v>
      </c>
    </row>
    <row r="577" spans="1:8" x14ac:dyDescent="0.25">
      <c r="A577" s="76">
        <v>46108</v>
      </c>
      <c r="B577" s="78">
        <v>2731</v>
      </c>
      <c r="C577" s="78" t="s">
        <v>26</v>
      </c>
      <c r="D577" t="s">
        <v>278</v>
      </c>
      <c r="E577" s="280">
        <v>1096900</v>
      </c>
      <c r="F577" s="282">
        <v>300000</v>
      </c>
      <c r="G577" s="79">
        <v>46192</v>
      </c>
      <c r="H577">
        <v>6</v>
      </c>
    </row>
    <row r="578" spans="1:8" hidden="1" x14ac:dyDescent="0.25">
      <c r="A578" s="76">
        <v>46108</v>
      </c>
      <c r="B578" s="78">
        <v>2733</v>
      </c>
      <c r="C578" s="78" t="s">
        <v>26</v>
      </c>
      <c r="D578" t="s">
        <v>281</v>
      </c>
      <c r="E578" s="280">
        <v>1386300</v>
      </c>
      <c r="F578" s="77">
        <v>1386300</v>
      </c>
      <c r="G578" s="79">
        <v>46051</v>
      </c>
      <c r="H578">
        <v>6</v>
      </c>
    </row>
    <row r="579" spans="1:8" x14ac:dyDescent="0.25">
      <c r="A579" s="76">
        <v>46108</v>
      </c>
      <c r="B579" s="78">
        <v>2768</v>
      </c>
      <c r="C579" s="78" t="s">
        <v>26</v>
      </c>
      <c r="D579" t="s">
        <v>295</v>
      </c>
      <c r="E579" s="280">
        <v>537100</v>
      </c>
      <c r="H579">
        <v>5</v>
      </c>
    </row>
    <row r="580" spans="1:8" hidden="1" x14ac:dyDescent="0.25">
      <c r="A580" s="76">
        <v>46108</v>
      </c>
      <c r="B580" s="78">
        <v>3082</v>
      </c>
      <c r="C580" s="78" t="s">
        <v>26</v>
      </c>
      <c r="D580" t="s">
        <v>439</v>
      </c>
      <c r="E580" s="280">
        <v>672000</v>
      </c>
      <c r="F580" s="77">
        <v>672000</v>
      </c>
      <c r="G580" s="79">
        <v>46099</v>
      </c>
      <c r="H580">
        <v>1</v>
      </c>
    </row>
    <row r="581" spans="1:8" hidden="1" x14ac:dyDescent="0.25">
      <c r="A581" s="76">
        <v>46109</v>
      </c>
      <c r="B581" s="78">
        <v>2517</v>
      </c>
      <c r="C581" s="78" t="s">
        <v>26</v>
      </c>
      <c r="D581" t="s">
        <v>176</v>
      </c>
      <c r="E581" s="280">
        <v>728700</v>
      </c>
      <c r="F581" s="77">
        <v>740359</v>
      </c>
      <c r="G581" s="79">
        <v>46125</v>
      </c>
      <c r="H581">
        <v>9</v>
      </c>
    </row>
    <row r="582" spans="1:8" hidden="1" x14ac:dyDescent="0.25">
      <c r="A582" s="76">
        <v>46110</v>
      </c>
      <c r="B582" s="78">
        <v>2588</v>
      </c>
      <c r="C582" s="78" t="s">
        <v>26</v>
      </c>
      <c r="D582" t="s">
        <v>201</v>
      </c>
      <c r="E582" s="280">
        <v>792000</v>
      </c>
      <c r="F582" s="77">
        <v>542486</v>
      </c>
      <c r="G582" s="79">
        <v>45976</v>
      </c>
      <c r="H582">
        <v>8</v>
      </c>
    </row>
    <row r="583" spans="1:8" hidden="1" x14ac:dyDescent="0.25">
      <c r="A583" s="76">
        <v>46110</v>
      </c>
      <c r="B583" s="78">
        <v>912</v>
      </c>
      <c r="C583" s="78" t="s">
        <v>240</v>
      </c>
      <c r="D583" t="s">
        <v>241</v>
      </c>
      <c r="E583" s="280">
        <v>605800</v>
      </c>
      <c r="F583" s="77">
        <v>414925</v>
      </c>
      <c r="G583" s="79">
        <v>45996</v>
      </c>
      <c r="H583">
        <v>8</v>
      </c>
    </row>
    <row r="584" spans="1:8" hidden="1" x14ac:dyDescent="0.25">
      <c r="A584" s="76">
        <v>46109</v>
      </c>
      <c r="B584" s="78">
        <v>2990</v>
      </c>
      <c r="C584" s="78" t="s">
        <v>26</v>
      </c>
      <c r="D584" t="s">
        <v>412</v>
      </c>
      <c r="E584" s="280">
        <v>1028500</v>
      </c>
      <c r="F584" s="77">
        <v>1028500</v>
      </c>
      <c r="G584" s="79">
        <v>46105</v>
      </c>
      <c r="H584">
        <v>2</v>
      </c>
    </row>
    <row r="585" spans="1:8" hidden="1" x14ac:dyDescent="0.25">
      <c r="A585" s="76">
        <v>46109</v>
      </c>
      <c r="B585" s="78">
        <v>3086</v>
      </c>
      <c r="C585" s="78" t="s">
        <v>26</v>
      </c>
      <c r="D585" t="s">
        <v>441</v>
      </c>
      <c r="E585" s="280">
        <v>407700</v>
      </c>
      <c r="F585" s="77">
        <v>407700</v>
      </c>
      <c r="G585" s="79">
        <v>46109</v>
      </c>
      <c r="H585">
        <v>1</v>
      </c>
    </row>
    <row r="586" spans="1:8" hidden="1" x14ac:dyDescent="0.25">
      <c r="A586" s="76">
        <v>46110</v>
      </c>
      <c r="B586" s="78">
        <v>2777</v>
      </c>
      <c r="C586" s="78" t="s">
        <v>26</v>
      </c>
      <c r="D586" t="s">
        <v>297</v>
      </c>
      <c r="E586" s="280">
        <v>1383100</v>
      </c>
      <c r="F586" s="77">
        <v>1383100</v>
      </c>
      <c r="G586" s="79">
        <v>46113</v>
      </c>
      <c r="H586">
        <v>5</v>
      </c>
    </row>
    <row r="587" spans="1:8" hidden="1" x14ac:dyDescent="0.25">
      <c r="A587" s="76">
        <v>46110</v>
      </c>
      <c r="B587" s="78">
        <v>2835</v>
      </c>
      <c r="C587" s="78" t="s">
        <v>26</v>
      </c>
      <c r="D587" t="s">
        <v>326</v>
      </c>
      <c r="E587" s="280">
        <v>1379900</v>
      </c>
      <c r="F587" s="77">
        <v>1379900</v>
      </c>
      <c r="G587" s="79">
        <v>46027</v>
      </c>
      <c r="H587">
        <v>4</v>
      </c>
    </row>
    <row r="588" spans="1:8" hidden="1" x14ac:dyDescent="0.25">
      <c r="A588" s="76">
        <v>46111</v>
      </c>
      <c r="B588" s="78">
        <v>2674</v>
      </c>
      <c r="C588" s="78" t="s">
        <v>26</v>
      </c>
      <c r="D588" t="s">
        <v>238</v>
      </c>
      <c r="E588" s="280">
        <v>1080900</v>
      </c>
      <c r="F588" s="77">
        <v>1080900</v>
      </c>
      <c r="G588" s="79">
        <v>46113</v>
      </c>
      <c r="H588">
        <v>7</v>
      </c>
    </row>
    <row r="589" spans="1:8" hidden="1" x14ac:dyDescent="0.25">
      <c r="A589" s="76">
        <v>46111</v>
      </c>
      <c r="B589" s="78">
        <v>2936</v>
      </c>
      <c r="C589" s="78" t="s">
        <v>26</v>
      </c>
      <c r="D589" t="s">
        <v>372</v>
      </c>
      <c r="E589" s="280">
        <v>488500</v>
      </c>
      <c r="F589" s="77">
        <v>488500</v>
      </c>
      <c r="G589" s="79">
        <v>46113</v>
      </c>
      <c r="H589">
        <v>3</v>
      </c>
    </row>
    <row r="590" spans="1:8" hidden="1" x14ac:dyDescent="0.25">
      <c r="A590" s="76">
        <v>46112</v>
      </c>
      <c r="B590" s="78">
        <v>2597</v>
      </c>
      <c r="C590" s="78" t="s">
        <v>26</v>
      </c>
      <c r="D590" t="s">
        <v>204</v>
      </c>
      <c r="E590" s="280">
        <v>578500</v>
      </c>
      <c r="F590" s="77">
        <v>578500</v>
      </c>
      <c r="G590" s="79">
        <v>46112</v>
      </c>
      <c r="H590">
        <v>8</v>
      </c>
    </row>
    <row r="591" spans="1:8" hidden="1" x14ac:dyDescent="0.25">
      <c r="A591" s="76">
        <v>46112</v>
      </c>
      <c r="B591" s="78">
        <v>2998</v>
      </c>
      <c r="C591" s="78" t="s">
        <v>26</v>
      </c>
      <c r="D591" t="s">
        <v>426</v>
      </c>
      <c r="E591" s="280">
        <v>1034400</v>
      </c>
      <c r="F591" s="77">
        <v>1042675</v>
      </c>
      <c r="G591" s="79">
        <v>46120</v>
      </c>
      <c r="H591">
        <v>2</v>
      </c>
    </row>
    <row r="592" spans="1:8" hidden="1" x14ac:dyDescent="0.25">
      <c r="A592" s="76">
        <v>46112</v>
      </c>
      <c r="B592" s="78">
        <v>3007</v>
      </c>
      <c r="C592" s="78" t="s">
        <v>26</v>
      </c>
      <c r="D592" t="s">
        <v>428</v>
      </c>
      <c r="E592" s="280">
        <v>861400</v>
      </c>
      <c r="F592" s="77">
        <v>861400</v>
      </c>
      <c r="G592" s="79">
        <v>46115</v>
      </c>
      <c r="H592">
        <v>2</v>
      </c>
    </row>
    <row r="593" spans="1:8" hidden="1" x14ac:dyDescent="0.25">
      <c r="A593" s="76">
        <v>46112</v>
      </c>
      <c r="B593" s="78">
        <v>3008</v>
      </c>
      <c r="C593" s="78" t="s">
        <v>26</v>
      </c>
      <c r="D593" t="s">
        <v>430</v>
      </c>
      <c r="E593" s="280">
        <v>813500</v>
      </c>
      <c r="F593" s="77">
        <v>887529</v>
      </c>
      <c r="G593" s="79">
        <v>46203</v>
      </c>
      <c r="H593">
        <v>2</v>
      </c>
    </row>
    <row r="594" spans="1:8" hidden="1" x14ac:dyDescent="0.25">
      <c r="A594" s="76">
        <v>46113</v>
      </c>
      <c r="B594" s="78">
        <v>2311</v>
      </c>
      <c r="C594" s="78" t="s">
        <v>26</v>
      </c>
      <c r="D594" t="s">
        <v>93</v>
      </c>
      <c r="E594" s="280">
        <v>418100</v>
      </c>
      <c r="F594" s="77">
        <v>418100</v>
      </c>
      <c r="G594" s="79">
        <v>46111</v>
      </c>
      <c r="H594">
        <v>12</v>
      </c>
    </row>
    <row r="595" spans="1:8" ht="15" hidden="1" customHeight="1" x14ac:dyDescent="0.25">
      <c r="A595" s="76">
        <v>46113</v>
      </c>
      <c r="B595" s="78">
        <v>2677</v>
      </c>
      <c r="C595" s="78" t="s">
        <v>26</v>
      </c>
      <c r="D595" t="s">
        <v>255</v>
      </c>
      <c r="E595" s="280">
        <v>1033600</v>
      </c>
      <c r="F595" s="77">
        <v>1033600</v>
      </c>
      <c r="G595" s="79">
        <v>46120</v>
      </c>
      <c r="H595">
        <v>7</v>
      </c>
    </row>
    <row r="596" spans="1:8" hidden="1" x14ac:dyDescent="0.25">
      <c r="A596" s="76">
        <v>46113</v>
      </c>
      <c r="B596" s="78">
        <v>2839</v>
      </c>
      <c r="C596" s="78" t="s">
        <v>26</v>
      </c>
      <c r="D596" t="s">
        <v>328</v>
      </c>
      <c r="E596" s="280">
        <v>1376500</v>
      </c>
      <c r="F596" s="77">
        <v>1394395</v>
      </c>
      <c r="G596" s="79">
        <v>46126</v>
      </c>
      <c r="H596">
        <v>4</v>
      </c>
    </row>
    <row r="597" spans="1:8" hidden="1" x14ac:dyDescent="0.25">
      <c r="A597" s="76">
        <v>46113</v>
      </c>
      <c r="B597" s="78">
        <v>1047</v>
      </c>
      <c r="C597" s="78" t="s">
        <v>240</v>
      </c>
      <c r="D597" t="s">
        <v>346</v>
      </c>
      <c r="E597" s="280">
        <v>1360600</v>
      </c>
      <c r="F597" s="77">
        <v>1360600</v>
      </c>
      <c r="G597" s="79">
        <v>46111</v>
      </c>
      <c r="H597">
        <v>4</v>
      </c>
    </row>
    <row r="598" spans="1:8" ht="15" hidden="1" customHeight="1" x14ac:dyDescent="0.25">
      <c r="A598" s="76">
        <v>46115</v>
      </c>
      <c r="B598" s="78">
        <v>2520</v>
      </c>
      <c r="C598" s="78" t="s">
        <v>26</v>
      </c>
      <c r="D598" t="s">
        <v>196</v>
      </c>
      <c r="E598" s="280">
        <v>481700</v>
      </c>
      <c r="F598" s="77">
        <v>481700</v>
      </c>
      <c r="G598" s="79">
        <v>46118</v>
      </c>
      <c r="H598">
        <v>9</v>
      </c>
    </row>
    <row r="599" spans="1:8" hidden="1" x14ac:dyDescent="0.25">
      <c r="A599" s="76">
        <v>46115</v>
      </c>
      <c r="B599" s="78">
        <v>2847</v>
      </c>
      <c r="C599" s="78" t="s">
        <v>26</v>
      </c>
      <c r="D599" t="s">
        <v>330</v>
      </c>
      <c r="E599" s="280">
        <v>419300</v>
      </c>
      <c r="F599" s="77">
        <v>419300</v>
      </c>
      <c r="G599" s="79">
        <v>46120</v>
      </c>
      <c r="H599">
        <v>4</v>
      </c>
    </row>
    <row r="600" spans="1:8" hidden="1" x14ac:dyDescent="0.25">
      <c r="A600" s="76">
        <v>46115</v>
      </c>
      <c r="B600" s="78">
        <v>1054</v>
      </c>
      <c r="C600" s="78" t="s">
        <v>240</v>
      </c>
      <c r="D600" t="s">
        <v>348</v>
      </c>
      <c r="E600" s="280">
        <v>1360600</v>
      </c>
      <c r="F600" s="77">
        <v>1360600</v>
      </c>
      <c r="G600" s="79">
        <v>46015</v>
      </c>
      <c r="H600">
        <v>4</v>
      </c>
    </row>
    <row r="601" spans="1:8" hidden="1" x14ac:dyDescent="0.25">
      <c r="A601" s="76">
        <v>46116</v>
      </c>
      <c r="B601" s="78">
        <v>2745</v>
      </c>
      <c r="C601" s="78" t="s">
        <v>26</v>
      </c>
      <c r="D601" t="s">
        <v>285</v>
      </c>
      <c r="E601" s="280">
        <v>1007800</v>
      </c>
      <c r="F601" s="77">
        <v>1007800</v>
      </c>
      <c r="G601" s="79">
        <v>46113</v>
      </c>
      <c r="H601">
        <v>6</v>
      </c>
    </row>
    <row r="602" spans="1:8" hidden="1" x14ac:dyDescent="0.25">
      <c r="A602" s="76">
        <v>46116</v>
      </c>
      <c r="B602" s="78">
        <v>2849</v>
      </c>
      <c r="C602" s="78" t="s">
        <v>26</v>
      </c>
      <c r="D602" t="s">
        <v>334</v>
      </c>
      <c r="E602" s="280">
        <v>365300</v>
      </c>
      <c r="F602" s="77">
        <v>365300</v>
      </c>
      <c r="G602" s="79">
        <v>46099</v>
      </c>
      <c r="H602">
        <v>4</v>
      </c>
    </row>
    <row r="603" spans="1:8" hidden="1" x14ac:dyDescent="0.25">
      <c r="A603" s="76">
        <v>46116</v>
      </c>
      <c r="B603" s="78">
        <v>2850</v>
      </c>
      <c r="C603" s="78" t="s">
        <v>26</v>
      </c>
      <c r="D603" t="s">
        <v>332</v>
      </c>
      <c r="E603" s="280">
        <v>615100</v>
      </c>
      <c r="F603" s="77">
        <v>624942</v>
      </c>
      <c r="G603" s="79">
        <v>46132</v>
      </c>
      <c r="H603">
        <v>4</v>
      </c>
    </row>
    <row r="604" spans="1:8" hidden="1" x14ac:dyDescent="0.25">
      <c r="A604" s="76">
        <v>46117</v>
      </c>
      <c r="B604" s="78">
        <v>2382</v>
      </c>
      <c r="C604" s="78" t="s">
        <v>26</v>
      </c>
      <c r="D604" t="s">
        <v>119</v>
      </c>
      <c r="E604" s="280">
        <v>581200</v>
      </c>
      <c r="F604" s="77">
        <v>542525</v>
      </c>
      <c r="G604" s="79">
        <v>45980</v>
      </c>
      <c r="H604">
        <v>11</v>
      </c>
    </row>
    <row r="605" spans="1:8" hidden="1" x14ac:dyDescent="0.25">
      <c r="A605" s="76">
        <v>46117</v>
      </c>
      <c r="B605" s="78">
        <v>2463</v>
      </c>
      <c r="C605" s="78" t="s">
        <v>26</v>
      </c>
      <c r="D605" t="s">
        <v>151</v>
      </c>
      <c r="E605" s="280">
        <v>782600</v>
      </c>
      <c r="F605" s="77">
        <v>705849</v>
      </c>
      <c r="G605" s="79">
        <v>46041</v>
      </c>
      <c r="H605">
        <v>10</v>
      </c>
    </row>
    <row r="606" spans="1:8" hidden="1" x14ac:dyDescent="0.25">
      <c r="A606" s="76">
        <v>46117</v>
      </c>
      <c r="B606" s="78">
        <v>3099</v>
      </c>
      <c r="C606" s="78" t="s">
        <v>26</v>
      </c>
      <c r="D606" t="s">
        <v>443</v>
      </c>
      <c r="E606" s="280">
        <v>614700</v>
      </c>
      <c r="F606" s="77">
        <v>614700</v>
      </c>
      <c r="G606" s="79">
        <v>46109</v>
      </c>
      <c r="H606">
        <v>1</v>
      </c>
    </row>
    <row r="607" spans="1:8" hidden="1" x14ac:dyDescent="0.25">
      <c r="A607" s="76">
        <v>46118</v>
      </c>
      <c r="B607" s="78">
        <v>2858</v>
      </c>
      <c r="C607" s="78" t="s">
        <v>26</v>
      </c>
      <c r="D607" t="s">
        <v>336</v>
      </c>
      <c r="E607" s="280">
        <v>779300</v>
      </c>
      <c r="F607" s="77">
        <v>779300</v>
      </c>
      <c r="G607" s="79">
        <v>46113</v>
      </c>
      <c r="H607">
        <v>4</v>
      </c>
    </row>
    <row r="608" spans="1:8" hidden="1" x14ac:dyDescent="0.25">
      <c r="A608" s="76">
        <v>46118</v>
      </c>
      <c r="B608" s="78">
        <v>2948</v>
      </c>
      <c r="C608" s="78" t="s">
        <v>26</v>
      </c>
      <c r="D608" t="s">
        <v>379</v>
      </c>
      <c r="E608" s="280">
        <v>298000</v>
      </c>
      <c r="F608" s="77">
        <v>298000</v>
      </c>
      <c r="G608" s="79">
        <v>46109</v>
      </c>
      <c r="H608">
        <v>3</v>
      </c>
    </row>
    <row r="609" spans="1:8" hidden="1" x14ac:dyDescent="0.25">
      <c r="A609" s="76">
        <v>46120</v>
      </c>
      <c r="B609" s="78">
        <v>2860</v>
      </c>
      <c r="C609" s="78" t="s">
        <v>26</v>
      </c>
      <c r="D609" t="s">
        <v>338</v>
      </c>
      <c r="E609" s="280">
        <v>1218500</v>
      </c>
      <c r="F609" s="77">
        <v>1218500</v>
      </c>
      <c r="G609" s="79">
        <v>46123</v>
      </c>
      <c r="H609">
        <v>4</v>
      </c>
    </row>
    <row r="610" spans="1:8" hidden="1" x14ac:dyDescent="0.25">
      <c r="A610" s="76">
        <v>46121</v>
      </c>
      <c r="B610" s="78">
        <v>2620</v>
      </c>
      <c r="C610" s="78" t="s">
        <v>26</v>
      </c>
      <c r="D610" t="s">
        <v>232</v>
      </c>
      <c r="E610" s="280">
        <v>780600</v>
      </c>
      <c r="F610" s="77">
        <v>787625</v>
      </c>
      <c r="G610" s="79">
        <v>46130</v>
      </c>
      <c r="H610">
        <v>8</v>
      </c>
    </row>
    <row r="611" spans="1:8" hidden="1" x14ac:dyDescent="0.25">
      <c r="A611" s="76">
        <v>46121</v>
      </c>
      <c r="B611" s="78">
        <v>883</v>
      </c>
      <c r="C611" s="78" t="s">
        <v>240</v>
      </c>
      <c r="D611" t="s">
        <v>243</v>
      </c>
      <c r="E611" s="280">
        <v>287300</v>
      </c>
      <c r="F611" s="77">
        <v>287300</v>
      </c>
      <c r="G611" s="79">
        <v>46126</v>
      </c>
      <c r="H611">
        <v>9</v>
      </c>
    </row>
    <row r="612" spans="1:8" hidden="1" x14ac:dyDescent="0.25">
      <c r="A612" s="76">
        <v>46121</v>
      </c>
      <c r="B612" s="78">
        <v>2861</v>
      </c>
      <c r="C612" s="78" t="s">
        <v>26</v>
      </c>
      <c r="D612" t="s">
        <v>340</v>
      </c>
      <c r="E612" s="280">
        <v>308200</v>
      </c>
      <c r="F612" s="77">
        <v>308200</v>
      </c>
      <c r="G612" s="79">
        <v>46123</v>
      </c>
      <c r="H612">
        <v>4</v>
      </c>
    </row>
    <row r="613" spans="1:8" hidden="1" x14ac:dyDescent="0.25">
      <c r="A613" s="76">
        <v>46121</v>
      </c>
      <c r="B613" s="78">
        <v>1059</v>
      </c>
      <c r="C613" s="78" t="s">
        <v>240</v>
      </c>
      <c r="D613" t="s">
        <v>350</v>
      </c>
      <c r="E613" s="280">
        <v>1313700</v>
      </c>
      <c r="F613" s="77">
        <v>1313700</v>
      </c>
      <c r="G613" s="79">
        <v>46000</v>
      </c>
      <c r="H613">
        <v>4</v>
      </c>
    </row>
    <row r="614" spans="1:8" hidden="1" x14ac:dyDescent="0.25">
      <c r="A614" s="76">
        <v>46122</v>
      </c>
      <c r="B614" s="78">
        <v>2399</v>
      </c>
      <c r="C614" s="78" t="s">
        <v>26</v>
      </c>
      <c r="D614" t="s">
        <v>121</v>
      </c>
      <c r="E614" s="280">
        <v>564700</v>
      </c>
      <c r="F614" s="77">
        <v>564700</v>
      </c>
      <c r="G614" s="79">
        <v>46063</v>
      </c>
      <c r="H614">
        <v>11</v>
      </c>
    </row>
    <row r="615" spans="1:8" x14ac:dyDescent="0.25">
      <c r="A615" s="76">
        <v>46122</v>
      </c>
      <c r="B615" s="78">
        <v>2473</v>
      </c>
      <c r="C615" s="78" t="s">
        <v>26</v>
      </c>
      <c r="D615" t="s">
        <v>164</v>
      </c>
      <c r="E615" s="280">
        <v>1002083</v>
      </c>
      <c r="H615">
        <v>10</v>
      </c>
    </row>
    <row r="616" spans="1:8" ht="15" hidden="1" customHeight="1" x14ac:dyDescent="0.25">
      <c r="A616" s="76">
        <v>46122</v>
      </c>
      <c r="B616" s="78">
        <v>2864</v>
      </c>
      <c r="C616" s="78" t="s">
        <v>26</v>
      </c>
      <c r="D616" t="s">
        <v>344</v>
      </c>
      <c r="E616" s="280">
        <v>1376500</v>
      </c>
      <c r="F616" s="77">
        <v>1376500</v>
      </c>
      <c r="G616" s="79">
        <v>46125</v>
      </c>
      <c r="H616">
        <v>4</v>
      </c>
    </row>
    <row r="617" spans="1:8" hidden="1" x14ac:dyDescent="0.25">
      <c r="A617" s="76">
        <v>46122</v>
      </c>
      <c r="B617" s="78">
        <v>3114</v>
      </c>
      <c r="C617" s="78" t="s">
        <v>26</v>
      </c>
      <c r="D617" t="s">
        <v>459</v>
      </c>
      <c r="E617" s="280">
        <v>1072700</v>
      </c>
      <c r="F617" s="77">
        <v>1072700</v>
      </c>
      <c r="G617" s="79">
        <v>46113</v>
      </c>
      <c r="H617">
        <v>1</v>
      </c>
    </row>
    <row r="618" spans="1:8" hidden="1" x14ac:dyDescent="0.25">
      <c r="A618" s="76">
        <v>46126</v>
      </c>
      <c r="B618" s="78">
        <v>2405</v>
      </c>
      <c r="C618" s="78" t="s">
        <v>26</v>
      </c>
      <c r="D618" t="s">
        <v>129</v>
      </c>
      <c r="E618" s="280">
        <v>418100</v>
      </c>
      <c r="F618" s="77">
        <v>421445</v>
      </c>
      <c r="G618" s="79">
        <v>46134</v>
      </c>
      <c r="H618">
        <v>11</v>
      </c>
    </row>
    <row r="619" spans="1:8" hidden="1" x14ac:dyDescent="0.25">
      <c r="A619" s="76">
        <v>46128</v>
      </c>
      <c r="B619" s="78">
        <v>2878</v>
      </c>
      <c r="C619" s="78" t="s">
        <v>26</v>
      </c>
      <c r="D619" t="s">
        <v>361</v>
      </c>
      <c r="E619" s="280">
        <v>965900</v>
      </c>
      <c r="F619" s="77">
        <v>965900</v>
      </c>
      <c r="G619" s="79">
        <v>46132</v>
      </c>
      <c r="H619">
        <v>4</v>
      </c>
    </row>
    <row r="620" spans="1:8" hidden="1" x14ac:dyDescent="0.25">
      <c r="A620" s="76">
        <v>46129</v>
      </c>
      <c r="B620" s="78">
        <v>2566</v>
      </c>
      <c r="C620" s="78" t="s">
        <v>26</v>
      </c>
      <c r="D620" t="s">
        <v>200</v>
      </c>
      <c r="E620" s="280">
        <v>790200</v>
      </c>
      <c r="F620" s="77">
        <v>790200</v>
      </c>
      <c r="G620" s="79">
        <v>45904</v>
      </c>
      <c r="H620">
        <v>9</v>
      </c>
    </row>
    <row r="621" spans="1:8" hidden="1" x14ac:dyDescent="0.25">
      <c r="A621" s="76">
        <v>46129</v>
      </c>
      <c r="B621" s="78">
        <v>2967</v>
      </c>
      <c r="C621" s="78" t="s">
        <v>26</v>
      </c>
      <c r="D621" t="s">
        <v>396</v>
      </c>
      <c r="E621" s="280">
        <v>989800</v>
      </c>
      <c r="F621" s="77">
        <v>989800</v>
      </c>
      <c r="G621" s="79">
        <v>46120</v>
      </c>
      <c r="H621">
        <v>3</v>
      </c>
    </row>
    <row r="622" spans="1:8" hidden="1" x14ac:dyDescent="0.25">
      <c r="A622" s="76">
        <v>46129</v>
      </c>
      <c r="B622" s="78">
        <v>2968</v>
      </c>
      <c r="C622" s="78" t="s">
        <v>26</v>
      </c>
      <c r="D622" t="s">
        <v>398</v>
      </c>
      <c r="E622" s="280">
        <v>452200</v>
      </c>
      <c r="F622" s="77">
        <v>452200</v>
      </c>
      <c r="G622" s="79">
        <v>46127</v>
      </c>
      <c r="H622">
        <v>3</v>
      </c>
    </row>
    <row r="623" spans="1:8" hidden="1" x14ac:dyDescent="0.25">
      <c r="A623" s="76">
        <v>46130</v>
      </c>
      <c r="B623" s="78">
        <v>2493</v>
      </c>
      <c r="C623" s="78" t="s">
        <v>26</v>
      </c>
      <c r="D623" t="s">
        <v>166</v>
      </c>
      <c r="E623" s="280">
        <v>328300</v>
      </c>
      <c r="F623" s="77">
        <v>346685</v>
      </c>
      <c r="G623" s="79">
        <v>46186</v>
      </c>
      <c r="H623">
        <v>10</v>
      </c>
    </row>
    <row r="624" spans="1:8" x14ac:dyDescent="0.25">
      <c r="A624" s="76">
        <v>46130</v>
      </c>
      <c r="B624" s="78">
        <v>3060</v>
      </c>
      <c r="C624" s="78" t="s">
        <v>26</v>
      </c>
      <c r="D624" t="s">
        <v>432</v>
      </c>
      <c r="E624" s="280">
        <v>623600</v>
      </c>
      <c r="H624">
        <v>2</v>
      </c>
    </row>
    <row r="625" spans="1:8" hidden="1" x14ac:dyDescent="0.25">
      <c r="A625" s="76">
        <v>46131</v>
      </c>
      <c r="B625" s="78">
        <v>2494</v>
      </c>
      <c r="C625" s="78" t="s">
        <v>26</v>
      </c>
      <c r="D625" t="s">
        <v>168</v>
      </c>
      <c r="E625" s="280">
        <v>425600</v>
      </c>
      <c r="F625" s="77">
        <v>425600</v>
      </c>
      <c r="G625" s="79">
        <v>46108</v>
      </c>
      <c r="H625">
        <v>10</v>
      </c>
    </row>
    <row r="626" spans="1:8" hidden="1" x14ac:dyDescent="0.25">
      <c r="A626" s="76">
        <v>46131</v>
      </c>
      <c r="B626" s="78">
        <v>2637</v>
      </c>
      <c r="C626" s="78" t="s">
        <v>26</v>
      </c>
      <c r="D626" t="s">
        <v>221</v>
      </c>
      <c r="E626" s="280">
        <v>663300</v>
      </c>
      <c r="F626" s="77">
        <v>669933</v>
      </c>
      <c r="G626" s="79">
        <v>46141</v>
      </c>
      <c r="H626">
        <v>8</v>
      </c>
    </row>
    <row r="627" spans="1:8" hidden="1" x14ac:dyDescent="0.25">
      <c r="A627" s="76">
        <v>46131</v>
      </c>
      <c r="B627" s="78">
        <v>2810</v>
      </c>
      <c r="C627" s="78" t="s">
        <v>26</v>
      </c>
      <c r="D627" t="s">
        <v>318</v>
      </c>
      <c r="E627" s="280">
        <v>557500</v>
      </c>
      <c r="F627" s="77">
        <v>568650</v>
      </c>
      <c r="G627" s="79">
        <v>46151</v>
      </c>
      <c r="H627">
        <v>5</v>
      </c>
    </row>
    <row r="628" spans="1:8" hidden="1" x14ac:dyDescent="0.25">
      <c r="A628" s="76">
        <v>46131</v>
      </c>
      <c r="B628" s="78">
        <v>1110</v>
      </c>
      <c r="C628" s="78" t="s">
        <v>240</v>
      </c>
      <c r="D628" t="s">
        <v>419</v>
      </c>
      <c r="E628" s="280">
        <v>751300</v>
      </c>
      <c r="F628" s="77">
        <v>751300</v>
      </c>
      <c r="G628" s="79">
        <v>46132</v>
      </c>
      <c r="H628">
        <v>3</v>
      </c>
    </row>
    <row r="629" spans="1:8" hidden="1" x14ac:dyDescent="0.25">
      <c r="A629" s="76">
        <v>46131</v>
      </c>
      <c r="B629" s="78">
        <v>3062</v>
      </c>
      <c r="C629" s="78" t="s">
        <v>26</v>
      </c>
      <c r="D629" t="s">
        <v>435</v>
      </c>
      <c r="E629" s="280">
        <v>452200</v>
      </c>
      <c r="F629" s="77">
        <v>452200</v>
      </c>
      <c r="G629" s="79">
        <v>46125</v>
      </c>
      <c r="H629">
        <v>2</v>
      </c>
    </row>
    <row r="630" spans="1:8" hidden="1" x14ac:dyDescent="0.25">
      <c r="A630" s="76">
        <v>46132</v>
      </c>
      <c r="B630" s="78">
        <v>2498</v>
      </c>
      <c r="C630" s="78" t="s">
        <v>26</v>
      </c>
      <c r="D630" t="s">
        <v>153</v>
      </c>
      <c r="E630" s="280">
        <v>904200</v>
      </c>
      <c r="F630" s="77">
        <v>663433</v>
      </c>
      <c r="G630" s="79">
        <v>46112</v>
      </c>
      <c r="H630">
        <v>10</v>
      </c>
    </row>
    <row r="631" spans="1:8" x14ac:dyDescent="0.25">
      <c r="A631" s="76">
        <v>46132</v>
      </c>
      <c r="B631" s="78">
        <v>2640</v>
      </c>
      <c r="C631" s="78" t="s">
        <v>26</v>
      </c>
      <c r="D631" t="s">
        <v>234</v>
      </c>
      <c r="E631" s="280">
        <v>789900</v>
      </c>
      <c r="H631">
        <v>8</v>
      </c>
    </row>
    <row r="632" spans="1:8" hidden="1" x14ac:dyDescent="0.25">
      <c r="A632" s="76">
        <v>46132</v>
      </c>
      <c r="B632" s="78">
        <v>2973</v>
      </c>
      <c r="C632" s="78" t="s">
        <v>26</v>
      </c>
      <c r="D632" t="s">
        <v>400</v>
      </c>
      <c r="E632" s="280">
        <v>696400</v>
      </c>
      <c r="F632" s="77">
        <v>696400</v>
      </c>
      <c r="G632" s="79">
        <v>46130</v>
      </c>
      <c r="H632">
        <v>3</v>
      </c>
    </row>
    <row r="633" spans="1:8" hidden="1" x14ac:dyDescent="0.25">
      <c r="A633" s="76">
        <v>46132</v>
      </c>
      <c r="B633" s="78">
        <v>1111</v>
      </c>
      <c r="C633" s="78" t="s">
        <v>240</v>
      </c>
      <c r="D633" t="s">
        <v>422</v>
      </c>
      <c r="E633" s="280">
        <v>1360600</v>
      </c>
      <c r="F633" s="77">
        <v>1360600</v>
      </c>
      <c r="G633" s="79">
        <v>46132</v>
      </c>
      <c r="H633">
        <v>3</v>
      </c>
    </row>
    <row r="634" spans="1:8" hidden="1" x14ac:dyDescent="0.25">
      <c r="A634" s="76">
        <v>46132</v>
      </c>
      <c r="B634" s="78">
        <v>3068</v>
      </c>
      <c r="C634" s="78" t="s">
        <v>26</v>
      </c>
      <c r="D634" t="s">
        <v>437</v>
      </c>
      <c r="E634" s="280">
        <v>450400</v>
      </c>
      <c r="F634" s="77">
        <v>450400</v>
      </c>
      <c r="G634" s="79">
        <v>46133</v>
      </c>
      <c r="H634">
        <v>2</v>
      </c>
    </row>
    <row r="635" spans="1:8" hidden="1" x14ac:dyDescent="0.25">
      <c r="A635" s="76">
        <v>46133</v>
      </c>
      <c r="B635" s="78">
        <v>2344</v>
      </c>
      <c r="C635" s="78" t="s">
        <v>26</v>
      </c>
      <c r="D635" t="s">
        <v>109</v>
      </c>
      <c r="E635" s="280">
        <v>317700</v>
      </c>
      <c r="F635" s="77">
        <v>320242</v>
      </c>
      <c r="G635" s="79">
        <v>46141</v>
      </c>
      <c r="H635">
        <v>12</v>
      </c>
    </row>
    <row r="636" spans="1:8" hidden="1" x14ac:dyDescent="0.25">
      <c r="A636" s="76">
        <v>46133</v>
      </c>
      <c r="B636" s="78">
        <v>2500</v>
      </c>
      <c r="C636" s="78" t="s">
        <v>26</v>
      </c>
      <c r="D636" t="s">
        <v>155</v>
      </c>
      <c r="E636" s="280">
        <v>600000</v>
      </c>
      <c r="F636" s="77">
        <v>600000</v>
      </c>
      <c r="G636" s="79">
        <v>46134</v>
      </c>
      <c r="H636">
        <v>10</v>
      </c>
    </row>
    <row r="637" spans="1:8" hidden="1" x14ac:dyDescent="0.25">
      <c r="A637" s="76">
        <v>46133</v>
      </c>
      <c r="B637" s="78">
        <v>2501</v>
      </c>
      <c r="C637" s="78" t="s">
        <v>26</v>
      </c>
      <c r="D637" t="s">
        <v>157</v>
      </c>
      <c r="E637" s="280">
        <v>325300</v>
      </c>
      <c r="F637" s="77">
        <v>238649</v>
      </c>
      <c r="G637" s="79">
        <v>46112</v>
      </c>
      <c r="H637">
        <v>10</v>
      </c>
    </row>
    <row r="638" spans="1:8" hidden="1" x14ac:dyDescent="0.25">
      <c r="A638" s="76">
        <v>46133</v>
      </c>
      <c r="B638" s="78">
        <v>2505</v>
      </c>
      <c r="C638" s="78" t="s">
        <v>26</v>
      </c>
      <c r="D638" t="s">
        <v>170</v>
      </c>
      <c r="E638" s="280">
        <v>901600</v>
      </c>
      <c r="F638" s="77">
        <v>813195</v>
      </c>
      <c r="G638" s="79">
        <v>46113</v>
      </c>
      <c r="H638">
        <v>10</v>
      </c>
    </row>
    <row r="639" spans="1:8" hidden="1" x14ac:dyDescent="0.25">
      <c r="A639" s="76">
        <v>46133</v>
      </c>
      <c r="B639" s="78">
        <v>1112</v>
      </c>
      <c r="C639" s="78" t="s">
        <v>240</v>
      </c>
      <c r="D639" t="s">
        <v>467</v>
      </c>
      <c r="E639" s="280">
        <v>649000</v>
      </c>
      <c r="F639" s="77">
        <v>649000</v>
      </c>
      <c r="G639" s="79">
        <v>46134</v>
      </c>
      <c r="H639">
        <v>3</v>
      </c>
    </row>
    <row r="640" spans="1:8" hidden="1" x14ac:dyDescent="0.25">
      <c r="A640" s="76">
        <v>46134</v>
      </c>
      <c r="B640" s="78">
        <v>2346</v>
      </c>
      <c r="C640" s="78" t="s">
        <v>26</v>
      </c>
      <c r="D640" t="s">
        <v>111</v>
      </c>
      <c r="E640" s="280">
        <v>656200</v>
      </c>
      <c r="F640" s="77">
        <v>656200</v>
      </c>
      <c r="G640" s="79">
        <v>46135</v>
      </c>
      <c r="H640">
        <v>12</v>
      </c>
    </row>
    <row r="641" spans="1:8" hidden="1" x14ac:dyDescent="0.25">
      <c r="A641" s="76">
        <v>46135</v>
      </c>
      <c r="B641" s="78">
        <v>2348</v>
      </c>
      <c r="C641" s="78" t="s">
        <v>26</v>
      </c>
      <c r="D641" t="s">
        <v>113</v>
      </c>
      <c r="E641" s="280">
        <v>393500</v>
      </c>
      <c r="F641" s="77">
        <v>309279</v>
      </c>
      <c r="G641" s="79">
        <v>45891</v>
      </c>
      <c r="H641">
        <v>12</v>
      </c>
    </row>
    <row r="642" spans="1:8" hidden="1" x14ac:dyDescent="0.25">
      <c r="A642" s="76">
        <v>46136</v>
      </c>
      <c r="B642" s="78">
        <v>2431</v>
      </c>
      <c r="C642" s="78" t="s">
        <v>26</v>
      </c>
      <c r="D642" t="s">
        <v>149</v>
      </c>
      <c r="E642" s="280">
        <v>313900</v>
      </c>
      <c r="F642" s="77">
        <v>319236</v>
      </c>
      <c r="G642" s="79">
        <v>46153</v>
      </c>
      <c r="H642">
        <v>11</v>
      </c>
    </row>
    <row r="643" spans="1:8" hidden="1" x14ac:dyDescent="0.25">
      <c r="A643" s="76">
        <v>46136</v>
      </c>
      <c r="B643" s="78">
        <v>2764</v>
      </c>
      <c r="C643" s="78" t="s">
        <v>26</v>
      </c>
      <c r="D643" t="s">
        <v>299</v>
      </c>
      <c r="E643" s="280">
        <v>1526600</v>
      </c>
      <c r="F643" s="77">
        <v>1526600</v>
      </c>
      <c r="G643" s="79">
        <v>46133</v>
      </c>
      <c r="H643">
        <v>6</v>
      </c>
    </row>
    <row r="644" spans="1:8" hidden="1" x14ac:dyDescent="0.25">
      <c r="A644" s="76">
        <v>46136</v>
      </c>
      <c r="B644" s="78">
        <v>2817</v>
      </c>
      <c r="C644" s="78" t="s">
        <v>26</v>
      </c>
      <c r="D644" t="s">
        <v>320</v>
      </c>
      <c r="E644" s="280">
        <v>841000</v>
      </c>
      <c r="F644" s="77">
        <v>853615</v>
      </c>
      <c r="G644" s="79">
        <v>46151</v>
      </c>
      <c r="H644">
        <v>5</v>
      </c>
    </row>
    <row r="645" spans="1:8" hidden="1" x14ac:dyDescent="0.25">
      <c r="A645" s="76">
        <v>46136</v>
      </c>
      <c r="B645" s="78">
        <v>2909</v>
      </c>
      <c r="C645" s="78" t="s">
        <v>26</v>
      </c>
      <c r="D645" t="s">
        <v>363</v>
      </c>
      <c r="E645" s="280">
        <v>1421200</v>
      </c>
      <c r="F645" s="77">
        <v>1421200</v>
      </c>
      <c r="G645" s="79">
        <v>46134</v>
      </c>
      <c r="H645">
        <v>4</v>
      </c>
    </row>
    <row r="646" spans="1:8" hidden="1" x14ac:dyDescent="0.25">
      <c r="A646" s="76">
        <v>46136</v>
      </c>
      <c r="B646" s="78">
        <v>2913</v>
      </c>
      <c r="C646" s="78" t="s">
        <v>26</v>
      </c>
      <c r="D646" t="s">
        <v>365</v>
      </c>
      <c r="E646" s="280">
        <v>588800</v>
      </c>
      <c r="F646" s="77">
        <v>588800</v>
      </c>
      <c r="G646" s="79">
        <v>46135</v>
      </c>
      <c r="H646">
        <v>4</v>
      </c>
    </row>
    <row r="647" spans="1:8" hidden="1" x14ac:dyDescent="0.25">
      <c r="A647" s="76">
        <v>46137</v>
      </c>
      <c r="B647" s="78">
        <v>2511</v>
      </c>
      <c r="C647" s="78" t="s">
        <v>26</v>
      </c>
      <c r="D647" t="s">
        <v>171</v>
      </c>
      <c r="E647" s="280">
        <v>712300</v>
      </c>
      <c r="F647" s="77">
        <v>725121</v>
      </c>
      <c r="G647" s="79">
        <v>46155</v>
      </c>
      <c r="H647">
        <v>10</v>
      </c>
    </row>
    <row r="648" spans="1:8" hidden="1" x14ac:dyDescent="0.25">
      <c r="A648" s="76">
        <v>46137</v>
      </c>
      <c r="B648" s="78">
        <v>2825</v>
      </c>
      <c r="C648" s="78" t="s">
        <v>26</v>
      </c>
      <c r="D648" t="s">
        <v>322</v>
      </c>
      <c r="E648" s="280">
        <v>619100</v>
      </c>
      <c r="F648" s="77">
        <v>619100</v>
      </c>
      <c r="G648" s="79">
        <v>46134</v>
      </c>
      <c r="H648">
        <v>5</v>
      </c>
    </row>
    <row r="649" spans="1:8" hidden="1" x14ac:dyDescent="0.25">
      <c r="A649" s="76">
        <v>46137</v>
      </c>
      <c r="B649" s="78">
        <v>2826</v>
      </c>
      <c r="C649" s="78" t="s">
        <v>26</v>
      </c>
      <c r="D649" t="s">
        <v>324</v>
      </c>
      <c r="E649" s="280">
        <v>1379900</v>
      </c>
      <c r="F649" s="77">
        <v>1379900</v>
      </c>
      <c r="G649" s="79">
        <v>46137</v>
      </c>
      <c r="H649">
        <v>5</v>
      </c>
    </row>
    <row r="650" spans="1:8" hidden="1" x14ac:dyDescent="0.25">
      <c r="A650" s="76">
        <v>46137</v>
      </c>
      <c r="B650" s="78">
        <v>2828</v>
      </c>
      <c r="C650" s="78" t="s">
        <v>26</v>
      </c>
      <c r="D650" t="s">
        <v>309</v>
      </c>
      <c r="E650" s="280">
        <v>441300</v>
      </c>
      <c r="F650" s="77">
        <v>441300</v>
      </c>
      <c r="G650" s="79">
        <v>46141</v>
      </c>
      <c r="H650">
        <v>5</v>
      </c>
    </row>
    <row r="651" spans="1:8" hidden="1" x14ac:dyDescent="0.25">
      <c r="A651" s="76">
        <v>46137</v>
      </c>
      <c r="B651" s="78">
        <v>3151</v>
      </c>
      <c r="C651" s="78" t="s">
        <v>26</v>
      </c>
      <c r="D651" t="s">
        <v>444</v>
      </c>
      <c r="E651" s="280">
        <v>614700</v>
      </c>
      <c r="F651" s="77">
        <v>614700</v>
      </c>
      <c r="G651" s="79">
        <v>46139</v>
      </c>
      <c r="H651">
        <v>1</v>
      </c>
    </row>
    <row r="652" spans="1:8" hidden="1" x14ac:dyDescent="0.25">
      <c r="A652" s="76">
        <v>46138</v>
      </c>
      <c r="B652" s="78">
        <v>2290</v>
      </c>
      <c r="C652" s="78" t="s">
        <v>26</v>
      </c>
      <c r="D652" t="s">
        <v>95</v>
      </c>
      <c r="E652" s="280">
        <v>629900</v>
      </c>
      <c r="F652" s="77">
        <v>636199</v>
      </c>
      <c r="G652" s="79">
        <v>46148</v>
      </c>
      <c r="H652">
        <v>13</v>
      </c>
    </row>
    <row r="653" spans="1:8" hidden="1" x14ac:dyDescent="0.25">
      <c r="A653" s="76">
        <v>46138</v>
      </c>
      <c r="B653" s="78">
        <v>2354</v>
      </c>
      <c r="C653" s="78" t="s">
        <v>26</v>
      </c>
      <c r="D653" t="s">
        <v>117</v>
      </c>
      <c r="E653" s="280">
        <v>867300</v>
      </c>
      <c r="F653" s="77">
        <v>867300</v>
      </c>
      <c r="G653" s="79">
        <v>45985</v>
      </c>
      <c r="H653">
        <v>12</v>
      </c>
    </row>
    <row r="654" spans="1:8" hidden="1" x14ac:dyDescent="0.25">
      <c r="A654" s="76">
        <v>46138</v>
      </c>
      <c r="B654" s="78">
        <v>2515</v>
      </c>
      <c r="C654" s="78" t="s">
        <v>26</v>
      </c>
      <c r="D654" t="s">
        <v>174</v>
      </c>
      <c r="E654" s="280">
        <v>804500</v>
      </c>
      <c r="F654" s="77">
        <v>804500</v>
      </c>
      <c r="G654" s="79">
        <v>46144</v>
      </c>
      <c r="H654">
        <v>10</v>
      </c>
    </row>
    <row r="655" spans="1:8" hidden="1" x14ac:dyDescent="0.25">
      <c r="A655" s="76">
        <v>46138</v>
      </c>
      <c r="B655" s="78">
        <v>2919</v>
      </c>
      <c r="C655" s="78" t="s">
        <v>26</v>
      </c>
      <c r="D655" t="s">
        <v>369</v>
      </c>
      <c r="E655" s="280">
        <v>440800</v>
      </c>
      <c r="F655" s="77">
        <v>440800</v>
      </c>
      <c r="G655" s="79">
        <v>46113</v>
      </c>
      <c r="H655">
        <v>4</v>
      </c>
    </row>
    <row r="656" spans="1:8" hidden="1" x14ac:dyDescent="0.25">
      <c r="A656" s="76">
        <v>46138</v>
      </c>
      <c r="B656" s="78">
        <v>2921</v>
      </c>
      <c r="C656" s="78" t="s">
        <v>26</v>
      </c>
      <c r="D656" t="s">
        <v>367</v>
      </c>
      <c r="E656" s="280">
        <v>1091100</v>
      </c>
      <c r="F656" s="77">
        <v>1091100</v>
      </c>
      <c r="G656" s="79">
        <v>46139</v>
      </c>
      <c r="H656">
        <v>4</v>
      </c>
    </row>
    <row r="657" spans="1:8" hidden="1" x14ac:dyDescent="0.25">
      <c r="A657" s="76">
        <v>46138</v>
      </c>
      <c r="B657" s="78">
        <v>3157</v>
      </c>
      <c r="C657" s="78" t="s">
        <v>26</v>
      </c>
      <c r="D657" t="s">
        <v>447</v>
      </c>
      <c r="E657" s="280">
        <v>407700</v>
      </c>
      <c r="F657" s="77">
        <v>407700</v>
      </c>
      <c r="G657" s="79">
        <v>46137</v>
      </c>
      <c r="H657">
        <v>1</v>
      </c>
    </row>
    <row r="658" spans="1:8" hidden="1" x14ac:dyDescent="0.25">
      <c r="A658" s="76">
        <v>46139</v>
      </c>
      <c r="B658" s="78">
        <v>2662</v>
      </c>
      <c r="C658" s="78" t="s">
        <v>26</v>
      </c>
      <c r="D658" t="s">
        <v>236</v>
      </c>
      <c r="E658" s="280">
        <v>869800</v>
      </c>
      <c r="F658" s="77">
        <v>922858</v>
      </c>
      <c r="G658" s="79">
        <v>46200</v>
      </c>
      <c r="H658">
        <v>8</v>
      </c>
    </row>
    <row r="659" spans="1:8" x14ac:dyDescent="0.25">
      <c r="A659" s="76">
        <v>46139</v>
      </c>
      <c r="B659" s="78">
        <v>2731</v>
      </c>
      <c r="C659" s="78" t="s">
        <v>26</v>
      </c>
      <c r="D659" t="s">
        <v>278</v>
      </c>
      <c r="E659" s="280">
        <v>1096900</v>
      </c>
      <c r="H659">
        <v>7</v>
      </c>
    </row>
    <row r="660" spans="1:8" x14ac:dyDescent="0.25">
      <c r="A660" s="76">
        <v>46139</v>
      </c>
      <c r="B660" s="78">
        <v>2768</v>
      </c>
      <c r="C660" s="78" t="s">
        <v>26</v>
      </c>
      <c r="D660" t="s">
        <v>295</v>
      </c>
      <c r="E660" s="280">
        <v>537100</v>
      </c>
      <c r="H660">
        <v>6</v>
      </c>
    </row>
    <row r="661" spans="1:8" hidden="1" x14ac:dyDescent="0.25">
      <c r="A661" s="76">
        <v>46139</v>
      </c>
      <c r="B661" s="78">
        <v>3082</v>
      </c>
      <c r="C661" s="78" t="s">
        <v>26</v>
      </c>
      <c r="D661" t="s">
        <v>439</v>
      </c>
      <c r="E661" s="280">
        <v>672000</v>
      </c>
      <c r="F661" s="77">
        <v>672000</v>
      </c>
      <c r="G661" s="79">
        <v>46129</v>
      </c>
      <c r="H661">
        <v>2</v>
      </c>
    </row>
    <row r="662" spans="1:8" hidden="1" x14ac:dyDescent="0.25">
      <c r="A662" s="76">
        <v>46140</v>
      </c>
      <c r="B662" s="78">
        <v>2517</v>
      </c>
      <c r="C662" s="78" t="s">
        <v>26</v>
      </c>
      <c r="D662" t="s">
        <v>176</v>
      </c>
      <c r="E662" s="280">
        <v>728700</v>
      </c>
      <c r="F662" s="77">
        <v>735258</v>
      </c>
      <c r="G662" s="79">
        <v>46149</v>
      </c>
      <c r="H662">
        <v>10</v>
      </c>
    </row>
    <row r="663" spans="1:8" hidden="1" x14ac:dyDescent="0.25">
      <c r="A663" s="76">
        <v>46141</v>
      </c>
      <c r="B663" s="78">
        <v>2588</v>
      </c>
      <c r="C663" s="78" t="s">
        <v>26</v>
      </c>
      <c r="D663" t="s">
        <v>201</v>
      </c>
      <c r="E663" s="280">
        <v>792000</v>
      </c>
      <c r="F663" s="77">
        <v>561473</v>
      </c>
      <c r="G663" s="79">
        <v>45976</v>
      </c>
      <c r="H663">
        <v>9</v>
      </c>
    </row>
    <row r="664" spans="1:8" hidden="1" x14ac:dyDescent="0.25">
      <c r="A664" s="76">
        <v>46141</v>
      </c>
      <c r="B664" s="78">
        <v>912</v>
      </c>
      <c r="C664" s="78" t="s">
        <v>240</v>
      </c>
      <c r="D664" t="s">
        <v>241</v>
      </c>
      <c r="E664" s="280">
        <v>605800</v>
      </c>
      <c r="F664" s="77">
        <v>429447</v>
      </c>
      <c r="G664" s="79">
        <v>45996</v>
      </c>
      <c r="H664">
        <v>9</v>
      </c>
    </row>
    <row r="665" spans="1:8" hidden="1" x14ac:dyDescent="0.25">
      <c r="A665" s="76">
        <v>46140</v>
      </c>
      <c r="B665" s="78">
        <v>2990</v>
      </c>
      <c r="C665" s="78" t="s">
        <v>26</v>
      </c>
      <c r="D665" t="s">
        <v>412</v>
      </c>
      <c r="E665" s="280">
        <v>1028500</v>
      </c>
      <c r="F665" s="77">
        <v>1028500</v>
      </c>
      <c r="G665" s="79">
        <v>46128</v>
      </c>
      <c r="H665">
        <v>3</v>
      </c>
    </row>
    <row r="666" spans="1:8" hidden="1" x14ac:dyDescent="0.25">
      <c r="A666" s="76">
        <v>46140</v>
      </c>
      <c r="B666" s="78">
        <v>3086</v>
      </c>
      <c r="C666" s="78" t="s">
        <v>26</v>
      </c>
      <c r="D666" t="s">
        <v>441</v>
      </c>
      <c r="E666" s="280">
        <v>407700</v>
      </c>
      <c r="F666" s="77">
        <v>407700</v>
      </c>
      <c r="G666" s="79">
        <v>46142</v>
      </c>
      <c r="H666">
        <v>2</v>
      </c>
    </row>
    <row r="667" spans="1:8" hidden="1" x14ac:dyDescent="0.25">
      <c r="A667" s="76">
        <v>46141</v>
      </c>
      <c r="B667" s="78">
        <v>2777</v>
      </c>
      <c r="C667" s="78" t="s">
        <v>26</v>
      </c>
      <c r="D667" t="s">
        <v>297</v>
      </c>
      <c r="E667" s="280">
        <v>1383100</v>
      </c>
      <c r="F667" s="77">
        <v>1383100</v>
      </c>
      <c r="G667" s="79">
        <v>46148</v>
      </c>
      <c r="H667">
        <v>6</v>
      </c>
    </row>
    <row r="668" spans="1:8" hidden="1" x14ac:dyDescent="0.25">
      <c r="A668" s="76">
        <v>46141</v>
      </c>
      <c r="B668" s="78">
        <v>2835</v>
      </c>
      <c r="C668" s="78" t="s">
        <v>26</v>
      </c>
      <c r="D668" t="s">
        <v>326</v>
      </c>
      <c r="E668" s="280">
        <v>1379900</v>
      </c>
      <c r="F668" s="77">
        <v>1379900</v>
      </c>
      <c r="G668" s="79">
        <v>46044</v>
      </c>
      <c r="H668">
        <v>5</v>
      </c>
    </row>
    <row r="669" spans="1:8" hidden="1" x14ac:dyDescent="0.25">
      <c r="A669" s="76">
        <v>46142</v>
      </c>
      <c r="B669" s="78">
        <v>2597</v>
      </c>
      <c r="C669" s="78" t="s">
        <v>26</v>
      </c>
      <c r="D669" t="s">
        <v>204</v>
      </c>
      <c r="E669" s="280">
        <v>578500</v>
      </c>
      <c r="F669" s="77">
        <v>578500</v>
      </c>
      <c r="G669" s="79">
        <v>46143</v>
      </c>
      <c r="H669">
        <v>9</v>
      </c>
    </row>
    <row r="670" spans="1:8" hidden="1" x14ac:dyDescent="0.25">
      <c r="A670" s="76">
        <v>46142</v>
      </c>
      <c r="B670" s="78">
        <v>2674</v>
      </c>
      <c r="C670" s="78" t="s">
        <v>26</v>
      </c>
      <c r="D670" t="s">
        <v>238</v>
      </c>
      <c r="E670" s="280">
        <v>1080900</v>
      </c>
      <c r="F670" s="77">
        <v>1080900</v>
      </c>
      <c r="G670" s="79">
        <v>46146</v>
      </c>
      <c r="H670">
        <v>8</v>
      </c>
    </row>
    <row r="671" spans="1:8" hidden="1" x14ac:dyDescent="0.25">
      <c r="A671" s="76">
        <v>46142</v>
      </c>
      <c r="B671" s="78">
        <v>2936</v>
      </c>
      <c r="C671" s="78" t="s">
        <v>26</v>
      </c>
      <c r="D671" t="s">
        <v>372</v>
      </c>
      <c r="E671" s="280">
        <v>488500</v>
      </c>
      <c r="F671" s="77">
        <v>488500</v>
      </c>
      <c r="G671" s="79">
        <v>46146</v>
      </c>
      <c r="H671">
        <v>4</v>
      </c>
    </row>
    <row r="672" spans="1:8" hidden="1" x14ac:dyDescent="0.25">
      <c r="A672" s="76">
        <v>46142</v>
      </c>
      <c r="B672" s="78">
        <v>2998</v>
      </c>
      <c r="C672" s="78" t="s">
        <v>26</v>
      </c>
      <c r="D672" t="s">
        <v>426</v>
      </c>
      <c r="E672" s="280">
        <v>1034400</v>
      </c>
      <c r="F672" s="77">
        <v>1034400</v>
      </c>
      <c r="G672" s="79">
        <v>46148</v>
      </c>
      <c r="H672">
        <v>3</v>
      </c>
    </row>
    <row r="673" spans="1:8" hidden="1" x14ac:dyDescent="0.25">
      <c r="A673" s="76">
        <v>46142</v>
      </c>
      <c r="B673" s="78">
        <v>3007</v>
      </c>
      <c r="C673" s="78" t="s">
        <v>26</v>
      </c>
      <c r="D673" t="s">
        <v>428</v>
      </c>
      <c r="E673" s="280">
        <v>861400</v>
      </c>
      <c r="F673" s="77">
        <v>861400</v>
      </c>
      <c r="G673" s="79">
        <v>46146</v>
      </c>
      <c r="H673">
        <v>3</v>
      </c>
    </row>
    <row r="674" spans="1:8" x14ac:dyDescent="0.25">
      <c r="A674" s="76">
        <v>46142</v>
      </c>
      <c r="B674" s="78">
        <v>3008</v>
      </c>
      <c r="C674" s="78" t="s">
        <v>26</v>
      </c>
      <c r="D674" t="s">
        <v>430</v>
      </c>
      <c r="E674" s="280">
        <v>813500</v>
      </c>
      <c r="H674">
        <v>3</v>
      </c>
    </row>
    <row r="675" spans="1:8" hidden="1" x14ac:dyDescent="0.25">
      <c r="A675" s="76">
        <v>46142</v>
      </c>
      <c r="B675" s="78">
        <v>3168</v>
      </c>
      <c r="C675" s="78" t="s">
        <v>26</v>
      </c>
      <c r="D675" t="s">
        <v>449</v>
      </c>
      <c r="E675" s="280">
        <v>659900</v>
      </c>
      <c r="F675" s="77">
        <v>659900</v>
      </c>
      <c r="G675" s="79">
        <v>46144</v>
      </c>
      <c r="H675">
        <v>1</v>
      </c>
    </row>
    <row r="676" spans="1:8" hidden="1" x14ac:dyDescent="0.25">
      <c r="A676" s="76">
        <v>46142</v>
      </c>
      <c r="B676" s="78">
        <v>3172</v>
      </c>
      <c r="C676" s="78" t="s">
        <v>26</v>
      </c>
      <c r="D676" t="s">
        <v>451</v>
      </c>
      <c r="E676" s="280">
        <v>645700</v>
      </c>
      <c r="F676" s="77">
        <v>645700</v>
      </c>
      <c r="G676" s="79">
        <v>46142</v>
      </c>
      <c r="H676">
        <v>1</v>
      </c>
    </row>
    <row r="677" spans="1:8" hidden="1" x14ac:dyDescent="0.25">
      <c r="A677" s="76">
        <v>46142</v>
      </c>
      <c r="B677" s="78">
        <v>3173</v>
      </c>
      <c r="C677" s="78" t="s">
        <v>26</v>
      </c>
      <c r="D677" t="s">
        <v>453</v>
      </c>
      <c r="E677" s="280">
        <v>1971000</v>
      </c>
      <c r="F677" s="77">
        <v>1971000</v>
      </c>
      <c r="G677" s="79">
        <v>46146</v>
      </c>
      <c r="H677">
        <v>1</v>
      </c>
    </row>
    <row r="678" spans="1:8" hidden="1" x14ac:dyDescent="0.25">
      <c r="A678" s="76">
        <v>46142</v>
      </c>
      <c r="B678" s="78">
        <v>3175</v>
      </c>
      <c r="C678" s="78" t="s">
        <v>26</v>
      </c>
      <c r="D678" t="s">
        <v>455</v>
      </c>
      <c r="E678" s="280">
        <v>1617200</v>
      </c>
      <c r="F678" s="77">
        <v>1617200</v>
      </c>
      <c r="G678" s="79">
        <v>46141</v>
      </c>
      <c r="H678">
        <v>1</v>
      </c>
    </row>
    <row r="679" spans="1:8" hidden="1" x14ac:dyDescent="0.25">
      <c r="A679" s="76">
        <v>46143</v>
      </c>
      <c r="B679" s="78">
        <v>2311</v>
      </c>
      <c r="C679" s="78" t="s">
        <v>26</v>
      </c>
      <c r="D679" t="s">
        <v>93</v>
      </c>
      <c r="E679" s="280">
        <v>418100</v>
      </c>
      <c r="F679" s="77">
        <v>418100</v>
      </c>
      <c r="G679" s="79">
        <v>46137</v>
      </c>
      <c r="H679">
        <v>13</v>
      </c>
    </row>
    <row r="680" spans="1:8" hidden="1" x14ac:dyDescent="0.25">
      <c r="A680" s="76">
        <v>46143</v>
      </c>
      <c r="B680" s="78">
        <v>2677</v>
      </c>
      <c r="C680" s="78" t="s">
        <v>26</v>
      </c>
      <c r="D680" t="s">
        <v>255</v>
      </c>
      <c r="E680" s="280">
        <v>1033600</v>
      </c>
      <c r="F680" s="77">
        <v>1033600</v>
      </c>
      <c r="G680" s="79">
        <v>46148</v>
      </c>
      <c r="H680">
        <v>8</v>
      </c>
    </row>
    <row r="681" spans="1:8" hidden="1" x14ac:dyDescent="0.25">
      <c r="A681" s="76">
        <v>46143</v>
      </c>
      <c r="B681" s="78">
        <v>2839</v>
      </c>
      <c r="C681" s="78" t="s">
        <v>26</v>
      </c>
      <c r="D681" t="s">
        <v>328</v>
      </c>
      <c r="E681" s="280">
        <v>1376500</v>
      </c>
      <c r="F681" s="77">
        <v>1285021</v>
      </c>
      <c r="G681" s="79">
        <v>46133</v>
      </c>
      <c r="H681">
        <v>5</v>
      </c>
    </row>
    <row r="682" spans="1:8" hidden="1" x14ac:dyDescent="0.25">
      <c r="A682" s="76">
        <v>46143</v>
      </c>
      <c r="B682" s="78">
        <v>1047</v>
      </c>
      <c r="C682" s="78" t="s">
        <v>240</v>
      </c>
      <c r="D682" t="s">
        <v>346</v>
      </c>
      <c r="E682" s="280">
        <v>1360600</v>
      </c>
      <c r="F682" s="77">
        <v>1360600</v>
      </c>
      <c r="G682" s="79">
        <v>46146</v>
      </c>
      <c r="H682">
        <v>5</v>
      </c>
    </row>
    <row r="683" spans="1:8" hidden="1" x14ac:dyDescent="0.25">
      <c r="A683" s="76">
        <v>46145</v>
      </c>
      <c r="B683" s="78">
        <v>2520</v>
      </c>
      <c r="C683" s="78" t="s">
        <v>26</v>
      </c>
      <c r="D683" t="s">
        <v>196</v>
      </c>
      <c r="E683" s="280">
        <v>481700</v>
      </c>
      <c r="F683" s="77">
        <v>481700</v>
      </c>
      <c r="G683" s="79">
        <v>46146</v>
      </c>
      <c r="H683">
        <v>10</v>
      </c>
    </row>
    <row r="684" spans="1:8" hidden="1" x14ac:dyDescent="0.25">
      <c r="A684" s="76">
        <v>46145</v>
      </c>
      <c r="B684" s="78">
        <v>2847</v>
      </c>
      <c r="C684" s="78" t="s">
        <v>26</v>
      </c>
      <c r="D684" t="s">
        <v>330</v>
      </c>
      <c r="E684" s="280">
        <v>419300</v>
      </c>
      <c r="F684" s="77">
        <v>419300</v>
      </c>
      <c r="G684" s="79">
        <v>46147</v>
      </c>
      <c r="H684">
        <v>5</v>
      </c>
    </row>
    <row r="685" spans="1:8" hidden="1" x14ac:dyDescent="0.25">
      <c r="A685" s="76">
        <v>46145</v>
      </c>
      <c r="B685" s="78">
        <v>1054</v>
      </c>
      <c r="C685" s="78" t="s">
        <v>240</v>
      </c>
      <c r="D685" t="s">
        <v>348</v>
      </c>
      <c r="E685" s="280">
        <v>1360600</v>
      </c>
      <c r="F685" s="77">
        <v>1360600</v>
      </c>
      <c r="G685" s="79">
        <v>46015</v>
      </c>
      <c r="H685">
        <v>5</v>
      </c>
    </row>
    <row r="686" spans="1:8" hidden="1" x14ac:dyDescent="0.25">
      <c r="A686" s="76">
        <v>46146</v>
      </c>
      <c r="B686" s="78">
        <v>2849</v>
      </c>
      <c r="C686" s="78" t="s">
        <v>26</v>
      </c>
      <c r="D686" t="s">
        <v>334</v>
      </c>
      <c r="E686" s="280">
        <v>365300</v>
      </c>
      <c r="F686" s="77">
        <v>365300</v>
      </c>
      <c r="G686" s="79">
        <v>46143</v>
      </c>
      <c r="H686">
        <v>5</v>
      </c>
    </row>
    <row r="687" spans="1:8" hidden="1" x14ac:dyDescent="0.25">
      <c r="A687" s="76">
        <v>46146</v>
      </c>
      <c r="B687" s="78">
        <v>2850</v>
      </c>
      <c r="C687" s="78" t="s">
        <v>26</v>
      </c>
      <c r="D687" t="s">
        <v>332</v>
      </c>
      <c r="E687" s="280">
        <v>615100</v>
      </c>
      <c r="F687" s="77">
        <v>615100</v>
      </c>
      <c r="G687" s="79">
        <v>46150</v>
      </c>
      <c r="H687">
        <v>5</v>
      </c>
    </row>
    <row r="688" spans="1:8" hidden="1" x14ac:dyDescent="0.25">
      <c r="A688" s="76">
        <v>46147</v>
      </c>
      <c r="B688" s="78">
        <v>2382</v>
      </c>
      <c r="C688" s="78" t="s">
        <v>26</v>
      </c>
      <c r="D688" t="s">
        <v>119</v>
      </c>
      <c r="E688" s="280">
        <v>581200</v>
      </c>
      <c r="F688" s="77">
        <v>561513</v>
      </c>
      <c r="G688" s="79">
        <v>45980</v>
      </c>
      <c r="H688">
        <v>12</v>
      </c>
    </row>
    <row r="689" spans="1:8" hidden="1" x14ac:dyDescent="0.25">
      <c r="A689" s="76">
        <v>46147</v>
      </c>
      <c r="B689" s="78">
        <v>2463</v>
      </c>
      <c r="C689" s="78" t="s">
        <v>26</v>
      </c>
      <c r="D689" t="s">
        <v>151</v>
      </c>
      <c r="E689" s="280">
        <v>782600</v>
      </c>
      <c r="F689" s="77">
        <v>730553</v>
      </c>
      <c r="G689" s="79">
        <v>46041</v>
      </c>
      <c r="H689">
        <v>11</v>
      </c>
    </row>
    <row r="690" spans="1:8" hidden="1" x14ac:dyDescent="0.25">
      <c r="A690" s="76">
        <v>46146</v>
      </c>
      <c r="B690" s="78">
        <v>2</v>
      </c>
      <c r="C690" s="78" t="s">
        <v>26</v>
      </c>
      <c r="D690" t="s">
        <v>457</v>
      </c>
      <c r="E690" s="280">
        <v>614700</v>
      </c>
      <c r="F690" s="77">
        <v>614700</v>
      </c>
      <c r="G690" s="79">
        <v>46142</v>
      </c>
      <c r="H690">
        <v>1</v>
      </c>
    </row>
    <row r="691" spans="1:8" hidden="1" x14ac:dyDescent="0.25">
      <c r="A691" s="76">
        <v>46147</v>
      </c>
      <c r="B691" s="78">
        <v>3099</v>
      </c>
      <c r="C691" s="78" t="s">
        <v>26</v>
      </c>
      <c r="D691" t="s">
        <v>443</v>
      </c>
      <c r="E691" s="280">
        <v>614700</v>
      </c>
      <c r="F691" s="77">
        <v>614700</v>
      </c>
      <c r="G691" s="79">
        <v>46142</v>
      </c>
      <c r="H691">
        <v>2</v>
      </c>
    </row>
    <row r="692" spans="1:8" hidden="1" x14ac:dyDescent="0.25">
      <c r="A692" s="76">
        <v>46148</v>
      </c>
      <c r="B692" s="78">
        <v>2858</v>
      </c>
      <c r="C692" s="78" t="s">
        <v>26</v>
      </c>
      <c r="D692" t="s">
        <v>336</v>
      </c>
      <c r="E692" s="280">
        <v>779300</v>
      </c>
      <c r="F692" s="77">
        <v>779300</v>
      </c>
      <c r="G692" s="79">
        <v>46148</v>
      </c>
      <c r="H692">
        <v>5</v>
      </c>
    </row>
    <row r="693" spans="1:8" hidden="1" x14ac:dyDescent="0.25">
      <c r="A693" s="76">
        <v>46148</v>
      </c>
      <c r="B693" s="78">
        <v>2948</v>
      </c>
      <c r="C693" s="78" t="s">
        <v>26</v>
      </c>
      <c r="D693" t="s">
        <v>379</v>
      </c>
      <c r="E693" s="280">
        <v>298000</v>
      </c>
      <c r="F693" s="77">
        <v>298000</v>
      </c>
      <c r="G693" s="79">
        <v>46140</v>
      </c>
      <c r="H693">
        <v>4</v>
      </c>
    </row>
    <row r="694" spans="1:8" hidden="1" x14ac:dyDescent="0.25">
      <c r="A694" s="76">
        <v>46148</v>
      </c>
      <c r="B694" s="78">
        <v>5</v>
      </c>
      <c r="C694" s="78" t="s">
        <v>26</v>
      </c>
      <c r="D694" t="s">
        <v>461</v>
      </c>
      <c r="E694" s="280">
        <v>714200</v>
      </c>
      <c r="F694" s="77">
        <v>714200</v>
      </c>
      <c r="G694" s="79">
        <v>46146</v>
      </c>
      <c r="H694">
        <v>1</v>
      </c>
    </row>
    <row r="695" spans="1:8" hidden="1" x14ac:dyDescent="0.25">
      <c r="A695" s="76">
        <v>46150</v>
      </c>
      <c r="B695" s="78">
        <v>2860</v>
      </c>
      <c r="C695" s="78" t="s">
        <v>26</v>
      </c>
      <c r="D695" t="s">
        <v>338</v>
      </c>
      <c r="E695" s="280">
        <v>1218500</v>
      </c>
      <c r="F695" s="77">
        <v>1218500</v>
      </c>
      <c r="G695" s="79">
        <v>46153</v>
      </c>
      <c r="H695">
        <v>5</v>
      </c>
    </row>
    <row r="696" spans="1:8" hidden="1" x14ac:dyDescent="0.25">
      <c r="A696" s="76">
        <v>46151</v>
      </c>
      <c r="B696" s="78">
        <v>2620</v>
      </c>
      <c r="C696" s="78" t="s">
        <v>26</v>
      </c>
      <c r="D696" t="s">
        <v>232</v>
      </c>
      <c r="E696" s="280">
        <v>780600</v>
      </c>
      <c r="F696" s="77">
        <v>791528</v>
      </c>
      <c r="G696" s="79">
        <v>46165</v>
      </c>
      <c r="H696">
        <v>9</v>
      </c>
    </row>
    <row r="697" spans="1:8" hidden="1" x14ac:dyDescent="0.25">
      <c r="A697" s="76">
        <v>46151</v>
      </c>
      <c r="B697" s="78">
        <v>883</v>
      </c>
      <c r="C697" s="78" t="s">
        <v>240</v>
      </c>
      <c r="D697" t="s">
        <v>243</v>
      </c>
      <c r="E697" s="280">
        <v>287300</v>
      </c>
      <c r="F697" s="77">
        <v>290460</v>
      </c>
      <c r="G697" s="79">
        <v>46162</v>
      </c>
      <c r="H697">
        <v>10</v>
      </c>
    </row>
    <row r="698" spans="1:8" hidden="1" x14ac:dyDescent="0.25">
      <c r="A698" s="76">
        <v>46151</v>
      </c>
      <c r="B698" s="78">
        <v>2861</v>
      </c>
      <c r="C698" s="78" t="s">
        <v>26</v>
      </c>
      <c r="D698" t="s">
        <v>340</v>
      </c>
      <c r="E698" s="280">
        <v>308200</v>
      </c>
      <c r="F698" s="77">
        <v>308200</v>
      </c>
      <c r="G698" s="79">
        <v>46150</v>
      </c>
      <c r="H698">
        <v>5</v>
      </c>
    </row>
    <row r="699" spans="1:8" hidden="1" x14ac:dyDescent="0.25">
      <c r="A699" s="76">
        <v>46151</v>
      </c>
      <c r="B699" s="78">
        <v>1059</v>
      </c>
      <c r="C699" s="78" t="s">
        <v>240</v>
      </c>
      <c r="D699" t="s">
        <v>350</v>
      </c>
      <c r="E699" s="280">
        <v>1313700</v>
      </c>
      <c r="F699" s="77">
        <v>1313700</v>
      </c>
      <c r="G699" s="79">
        <v>46000</v>
      </c>
      <c r="H699">
        <v>5</v>
      </c>
    </row>
    <row r="700" spans="1:8" hidden="1" x14ac:dyDescent="0.25">
      <c r="A700" s="76">
        <v>46152</v>
      </c>
      <c r="B700" s="78">
        <v>2399</v>
      </c>
      <c r="C700" s="78" t="s">
        <v>26</v>
      </c>
      <c r="D700" t="s">
        <v>121</v>
      </c>
      <c r="E700" s="280">
        <v>564700</v>
      </c>
      <c r="F700" s="77">
        <v>564700</v>
      </c>
      <c r="G700" s="79">
        <v>46063</v>
      </c>
      <c r="H700">
        <v>12</v>
      </c>
    </row>
    <row r="701" spans="1:8" x14ac:dyDescent="0.25">
      <c r="A701" s="76">
        <v>46152</v>
      </c>
      <c r="B701" s="78">
        <v>2473</v>
      </c>
      <c r="C701" s="78" t="s">
        <v>26</v>
      </c>
      <c r="D701" t="s">
        <v>164</v>
      </c>
      <c r="E701" s="280">
        <v>1002083</v>
      </c>
      <c r="H701">
        <v>11</v>
      </c>
    </row>
    <row r="702" spans="1:8" hidden="1" x14ac:dyDescent="0.25">
      <c r="A702" s="76">
        <v>46152</v>
      </c>
      <c r="B702" s="78">
        <v>2864</v>
      </c>
      <c r="C702" s="78" t="s">
        <v>26</v>
      </c>
      <c r="D702" t="s">
        <v>344</v>
      </c>
      <c r="E702" s="280">
        <v>1376500</v>
      </c>
      <c r="F702" s="77">
        <v>1376500</v>
      </c>
      <c r="G702" s="79">
        <v>46153</v>
      </c>
      <c r="H702">
        <v>5</v>
      </c>
    </row>
    <row r="703" spans="1:8" hidden="1" x14ac:dyDescent="0.25">
      <c r="A703" s="76">
        <v>46152</v>
      </c>
      <c r="B703" s="78">
        <v>3114</v>
      </c>
      <c r="C703" s="78" t="s">
        <v>26</v>
      </c>
      <c r="D703" t="s">
        <v>459</v>
      </c>
      <c r="E703" s="280">
        <v>1072700</v>
      </c>
      <c r="F703" s="77">
        <v>1072700</v>
      </c>
      <c r="G703" s="79">
        <v>46144</v>
      </c>
      <c r="H703">
        <v>2</v>
      </c>
    </row>
    <row r="704" spans="1:8" hidden="1" x14ac:dyDescent="0.25">
      <c r="A704" s="76">
        <v>46156</v>
      </c>
      <c r="B704" s="78">
        <v>2405</v>
      </c>
      <c r="C704" s="78" t="s">
        <v>26</v>
      </c>
      <c r="D704" t="s">
        <v>129</v>
      </c>
      <c r="E704" s="280">
        <v>418100</v>
      </c>
      <c r="F704" s="77">
        <v>421445</v>
      </c>
      <c r="G704" s="79">
        <v>46164</v>
      </c>
      <c r="H704">
        <v>12</v>
      </c>
    </row>
    <row r="705" spans="1:8" hidden="1" x14ac:dyDescent="0.25">
      <c r="A705" s="76">
        <v>46158</v>
      </c>
      <c r="B705" s="78">
        <v>2878</v>
      </c>
      <c r="C705" s="78" t="s">
        <v>26</v>
      </c>
      <c r="D705" t="s">
        <v>361</v>
      </c>
      <c r="E705" s="280">
        <v>965900</v>
      </c>
      <c r="F705" s="77">
        <v>965900</v>
      </c>
      <c r="G705" s="79">
        <v>46162</v>
      </c>
      <c r="H705">
        <v>5</v>
      </c>
    </row>
    <row r="706" spans="1:8" hidden="1" x14ac:dyDescent="0.25">
      <c r="A706" s="76">
        <v>46159</v>
      </c>
      <c r="B706" s="78">
        <v>2566</v>
      </c>
      <c r="C706" s="78" t="s">
        <v>26</v>
      </c>
      <c r="D706" t="s">
        <v>200</v>
      </c>
      <c r="E706" s="280">
        <v>790200</v>
      </c>
      <c r="F706" s="77">
        <v>790200</v>
      </c>
      <c r="G706" s="79">
        <v>46161</v>
      </c>
      <c r="H706">
        <v>10</v>
      </c>
    </row>
    <row r="707" spans="1:8" hidden="1" x14ac:dyDescent="0.25">
      <c r="A707" s="76">
        <v>46159</v>
      </c>
      <c r="B707" s="78">
        <v>2967</v>
      </c>
      <c r="C707" s="78" t="s">
        <v>26</v>
      </c>
      <c r="D707" t="s">
        <v>396</v>
      </c>
      <c r="E707" s="280">
        <v>989800</v>
      </c>
      <c r="F707" s="77">
        <v>989800</v>
      </c>
      <c r="G707" s="79">
        <v>46151</v>
      </c>
      <c r="H707">
        <v>4</v>
      </c>
    </row>
    <row r="708" spans="1:8" hidden="1" x14ac:dyDescent="0.25">
      <c r="A708" s="76">
        <v>46159</v>
      </c>
      <c r="B708" s="78">
        <v>2968</v>
      </c>
      <c r="C708" s="78" t="s">
        <v>26</v>
      </c>
      <c r="D708" t="s">
        <v>398</v>
      </c>
      <c r="E708" s="280">
        <v>452200</v>
      </c>
      <c r="F708" s="77">
        <v>452200</v>
      </c>
      <c r="G708" s="79">
        <v>46154</v>
      </c>
      <c r="H708">
        <v>4</v>
      </c>
    </row>
    <row r="709" spans="1:8" hidden="1" x14ac:dyDescent="0.25">
      <c r="A709" s="76">
        <v>46160</v>
      </c>
      <c r="B709" s="78">
        <v>2493</v>
      </c>
      <c r="C709" s="78" t="s">
        <v>26</v>
      </c>
      <c r="D709" t="s">
        <v>166</v>
      </c>
      <c r="E709" s="280">
        <v>328300</v>
      </c>
      <c r="F709" s="77">
        <v>328300</v>
      </c>
      <c r="G709" s="79">
        <v>46207</v>
      </c>
      <c r="H709">
        <v>11</v>
      </c>
    </row>
    <row r="710" spans="1:8" x14ac:dyDescent="0.25">
      <c r="A710" s="76">
        <v>46160</v>
      </c>
      <c r="B710" s="78">
        <v>3060</v>
      </c>
      <c r="C710" s="78" t="s">
        <v>26</v>
      </c>
      <c r="D710" t="s">
        <v>432</v>
      </c>
      <c r="E710" s="280">
        <v>623600</v>
      </c>
      <c r="H710">
        <v>3</v>
      </c>
    </row>
    <row r="711" spans="1:8" hidden="1" x14ac:dyDescent="0.25">
      <c r="A711" s="76">
        <v>46160</v>
      </c>
      <c r="B711" s="78">
        <v>31</v>
      </c>
      <c r="C711" s="78" t="s">
        <v>26</v>
      </c>
      <c r="D711" t="s">
        <v>501</v>
      </c>
      <c r="E711" s="280">
        <v>581500</v>
      </c>
      <c r="F711" s="77">
        <v>581500</v>
      </c>
      <c r="G711" s="79">
        <v>46161</v>
      </c>
      <c r="H711">
        <v>1</v>
      </c>
    </row>
    <row r="712" spans="1:8" hidden="1" x14ac:dyDescent="0.25">
      <c r="A712" s="76">
        <v>46160</v>
      </c>
      <c r="B712" s="78">
        <v>32</v>
      </c>
      <c r="C712" s="78" t="s">
        <v>26</v>
      </c>
      <c r="D712" t="s">
        <v>503</v>
      </c>
      <c r="E712" s="280">
        <v>252500</v>
      </c>
      <c r="F712" s="77">
        <v>252500</v>
      </c>
      <c r="G712" s="79">
        <v>46158</v>
      </c>
      <c r="H712">
        <v>1</v>
      </c>
    </row>
    <row r="713" spans="1:8" hidden="1" x14ac:dyDescent="0.25">
      <c r="A713" s="76">
        <v>46161</v>
      </c>
      <c r="B713" s="78">
        <v>2494</v>
      </c>
      <c r="C713" s="78" t="s">
        <v>26</v>
      </c>
      <c r="D713" t="s">
        <v>168</v>
      </c>
      <c r="E713" s="280">
        <v>425600</v>
      </c>
      <c r="F713" s="77">
        <v>425600</v>
      </c>
      <c r="G713" s="79">
        <v>46157</v>
      </c>
      <c r="H713">
        <v>11</v>
      </c>
    </row>
    <row r="714" spans="1:8" hidden="1" x14ac:dyDescent="0.25">
      <c r="A714" s="76">
        <v>46161</v>
      </c>
      <c r="B714" s="78">
        <v>2637</v>
      </c>
      <c r="C714" s="78" t="s">
        <v>26</v>
      </c>
      <c r="D714" t="s">
        <v>221</v>
      </c>
      <c r="E714" s="280">
        <v>663300</v>
      </c>
      <c r="F714" s="77">
        <v>669933</v>
      </c>
      <c r="G714" s="79">
        <v>46171</v>
      </c>
      <c r="H714">
        <v>9</v>
      </c>
    </row>
    <row r="715" spans="1:8" hidden="1" x14ac:dyDescent="0.25">
      <c r="A715" s="76">
        <v>46161</v>
      </c>
      <c r="B715" s="78">
        <v>2810</v>
      </c>
      <c r="C715" s="78" t="s">
        <v>26</v>
      </c>
      <c r="D715" t="s">
        <v>318</v>
      </c>
      <c r="E715" s="280">
        <v>557500</v>
      </c>
      <c r="F715" s="77">
        <v>573668</v>
      </c>
      <c r="G715" s="79">
        <v>46190</v>
      </c>
      <c r="H715">
        <v>6</v>
      </c>
    </row>
    <row r="716" spans="1:8" hidden="1" x14ac:dyDescent="0.25">
      <c r="A716" s="76">
        <v>46161</v>
      </c>
      <c r="B716" s="78">
        <v>1110</v>
      </c>
      <c r="C716" s="78" t="s">
        <v>240</v>
      </c>
      <c r="D716" t="s">
        <v>419</v>
      </c>
      <c r="E716" s="280">
        <v>751300</v>
      </c>
      <c r="F716" s="77">
        <v>751300</v>
      </c>
      <c r="G716" s="79">
        <v>46132</v>
      </c>
      <c r="H716">
        <v>4</v>
      </c>
    </row>
    <row r="717" spans="1:8" hidden="1" x14ac:dyDescent="0.25">
      <c r="A717" s="76">
        <v>46161</v>
      </c>
      <c r="B717" s="78">
        <v>3062</v>
      </c>
      <c r="C717" s="78" t="s">
        <v>26</v>
      </c>
      <c r="D717" t="s">
        <v>435</v>
      </c>
      <c r="E717" s="280">
        <v>452200</v>
      </c>
      <c r="F717" s="77">
        <v>452200</v>
      </c>
      <c r="G717" s="79">
        <v>46162</v>
      </c>
      <c r="H717">
        <v>3</v>
      </c>
    </row>
    <row r="718" spans="1:8" hidden="1" x14ac:dyDescent="0.25">
      <c r="A718" s="76">
        <v>46162</v>
      </c>
      <c r="B718" s="78">
        <v>2498</v>
      </c>
      <c r="C718" s="78" t="s">
        <v>26</v>
      </c>
      <c r="D718" t="s">
        <v>153</v>
      </c>
      <c r="E718" s="280">
        <v>904200</v>
      </c>
      <c r="F718" s="77">
        <v>686654</v>
      </c>
      <c r="G718" s="79">
        <v>46112</v>
      </c>
      <c r="H718">
        <v>11</v>
      </c>
    </row>
    <row r="719" spans="1:8" x14ac:dyDescent="0.25">
      <c r="A719" s="76">
        <v>46162</v>
      </c>
      <c r="B719" s="78">
        <v>2640</v>
      </c>
      <c r="C719" s="78" t="s">
        <v>26</v>
      </c>
      <c r="D719" t="s">
        <v>234</v>
      </c>
      <c r="E719" s="280">
        <v>789900</v>
      </c>
      <c r="H719">
        <v>9</v>
      </c>
    </row>
    <row r="720" spans="1:8" ht="15" hidden="1" customHeight="1" x14ac:dyDescent="0.25">
      <c r="A720" s="76">
        <v>46162</v>
      </c>
      <c r="B720" s="78">
        <v>2973</v>
      </c>
      <c r="C720" s="78" t="s">
        <v>26</v>
      </c>
      <c r="D720" t="s">
        <v>400</v>
      </c>
      <c r="E720" s="280">
        <v>696400</v>
      </c>
      <c r="F720" s="77">
        <v>696400</v>
      </c>
      <c r="G720" s="79">
        <v>46161</v>
      </c>
      <c r="H720">
        <v>4</v>
      </c>
    </row>
    <row r="721" spans="1:8" ht="15" hidden="1" customHeight="1" x14ac:dyDescent="0.25">
      <c r="A721" s="76">
        <v>46162</v>
      </c>
      <c r="B721" s="78">
        <v>1111</v>
      </c>
      <c r="C721" s="78" t="s">
        <v>240</v>
      </c>
      <c r="D721" t="s">
        <v>422</v>
      </c>
      <c r="E721" s="280">
        <v>1360600</v>
      </c>
      <c r="F721" s="77">
        <v>1360600</v>
      </c>
      <c r="G721" s="79">
        <v>46164</v>
      </c>
      <c r="H721">
        <v>4</v>
      </c>
    </row>
    <row r="722" spans="1:8" ht="15" hidden="1" customHeight="1" x14ac:dyDescent="0.25">
      <c r="A722" s="76">
        <v>46162</v>
      </c>
      <c r="B722" s="78">
        <v>3068</v>
      </c>
      <c r="C722" s="78" t="s">
        <v>26</v>
      </c>
      <c r="D722" t="s">
        <v>437</v>
      </c>
      <c r="E722" s="280">
        <v>450400</v>
      </c>
      <c r="F722" s="77">
        <v>450400</v>
      </c>
      <c r="G722" s="79">
        <v>46162</v>
      </c>
      <c r="H722">
        <v>3</v>
      </c>
    </row>
    <row r="723" spans="1:8" ht="15" hidden="1" customHeight="1" x14ac:dyDescent="0.25">
      <c r="A723" s="76">
        <v>46163</v>
      </c>
      <c r="B723" s="78">
        <v>2344</v>
      </c>
      <c r="C723" s="78" t="s">
        <v>26</v>
      </c>
      <c r="D723" t="s">
        <v>109</v>
      </c>
      <c r="E723" s="280">
        <v>317700</v>
      </c>
      <c r="F723" s="77">
        <v>317700</v>
      </c>
      <c r="G723" s="79">
        <v>46168</v>
      </c>
      <c r="H723">
        <v>13</v>
      </c>
    </row>
    <row r="724" spans="1:8" ht="15" hidden="1" customHeight="1" x14ac:dyDescent="0.25">
      <c r="A724" s="76">
        <v>46163</v>
      </c>
      <c r="B724" s="78">
        <v>2500</v>
      </c>
      <c r="C724" s="78" t="s">
        <v>26</v>
      </c>
      <c r="D724" t="s">
        <v>155</v>
      </c>
      <c r="E724" s="280">
        <v>600000</v>
      </c>
      <c r="F724" s="77">
        <v>600000</v>
      </c>
      <c r="G724" s="79">
        <v>46163</v>
      </c>
      <c r="H724">
        <v>11</v>
      </c>
    </row>
    <row r="725" spans="1:8" ht="15" hidden="1" customHeight="1" x14ac:dyDescent="0.25">
      <c r="A725" s="76">
        <v>46163</v>
      </c>
      <c r="B725" s="78">
        <v>2501</v>
      </c>
      <c r="C725" s="78" t="s">
        <v>26</v>
      </c>
      <c r="D725" t="s">
        <v>157</v>
      </c>
      <c r="E725" s="280">
        <v>325300</v>
      </c>
      <c r="F725" s="77">
        <v>247002</v>
      </c>
      <c r="G725" s="79">
        <v>46112</v>
      </c>
      <c r="H725">
        <v>11</v>
      </c>
    </row>
    <row r="726" spans="1:8" ht="15" hidden="1" customHeight="1" x14ac:dyDescent="0.25">
      <c r="A726" s="76">
        <v>46163</v>
      </c>
      <c r="B726" s="78">
        <v>2505</v>
      </c>
      <c r="C726" s="78" t="s">
        <v>26</v>
      </c>
      <c r="D726" t="s">
        <v>170</v>
      </c>
      <c r="E726" s="280">
        <v>901600</v>
      </c>
      <c r="F726" s="77">
        <v>841657</v>
      </c>
      <c r="G726" s="79">
        <v>46113</v>
      </c>
      <c r="H726">
        <v>11</v>
      </c>
    </row>
    <row r="727" spans="1:8" ht="15" hidden="1" customHeight="1" x14ac:dyDescent="0.25">
      <c r="A727" s="76">
        <v>46163</v>
      </c>
      <c r="B727" s="78">
        <v>1112</v>
      </c>
      <c r="C727" s="78" t="s">
        <v>240</v>
      </c>
      <c r="D727" t="s">
        <v>467</v>
      </c>
      <c r="E727" s="280">
        <v>649000</v>
      </c>
      <c r="F727" s="77">
        <v>649000</v>
      </c>
      <c r="G727" s="79">
        <v>46163</v>
      </c>
      <c r="H727">
        <v>4</v>
      </c>
    </row>
    <row r="728" spans="1:8" ht="15" hidden="1" customHeight="1" x14ac:dyDescent="0.25">
      <c r="A728" s="76">
        <v>46164</v>
      </c>
      <c r="B728" s="78">
        <v>2346</v>
      </c>
      <c r="C728" s="78" t="s">
        <v>26</v>
      </c>
      <c r="D728" t="s">
        <v>111</v>
      </c>
      <c r="E728" s="280">
        <v>656200</v>
      </c>
      <c r="F728" s="77">
        <v>656200</v>
      </c>
      <c r="G728" s="79">
        <v>46165</v>
      </c>
      <c r="H728">
        <v>13</v>
      </c>
    </row>
    <row r="729" spans="1:8" ht="15" hidden="1" customHeight="1" x14ac:dyDescent="0.25">
      <c r="A729" s="76">
        <v>46165</v>
      </c>
      <c r="B729" s="78">
        <v>2348</v>
      </c>
      <c r="C729" s="78" t="s">
        <v>26</v>
      </c>
      <c r="D729" t="s">
        <v>113</v>
      </c>
      <c r="E729" s="280">
        <v>393500</v>
      </c>
      <c r="F729" s="77">
        <v>320104</v>
      </c>
      <c r="G729" s="79">
        <v>45891</v>
      </c>
      <c r="H729">
        <v>13</v>
      </c>
    </row>
    <row r="730" spans="1:8" ht="15" hidden="1" customHeight="1" x14ac:dyDescent="0.25">
      <c r="A730" s="76">
        <v>46165</v>
      </c>
      <c r="B730" s="78">
        <v>45</v>
      </c>
      <c r="C730" s="78" t="s">
        <v>26</v>
      </c>
      <c r="D730" t="s">
        <v>519</v>
      </c>
      <c r="E730" s="280">
        <v>658800</v>
      </c>
      <c r="F730" s="77">
        <v>658800</v>
      </c>
      <c r="G730" s="79">
        <v>46164</v>
      </c>
      <c r="H730">
        <v>1</v>
      </c>
    </row>
    <row r="731" spans="1:8" hidden="1" x14ac:dyDescent="0.25">
      <c r="A731" s="76">
        <v>46165</v>
      </c>
      <c r="B731" s="78">
        <v>47</v>
      </c>
      <c r="C731" s="78" t="s">
        <v>26</v>
      </c>
      <c r="D731" t="s">
        <v>522</v>
      </c>
      <c r="E731" s="280">
        <v>304200</v>
      </c>
      <c r="F731" s="77">
        <v>304200</v>
      </c>
      <c r="G731" s="79">
        <v>46171</v>
      </c>
      <c r="H731">
        <v>1</v>
      </c>
    </row>
    <row r="732" spans="1:8" hidden="1" x14ac:dyDescent="0.25">
      <c r="A732" s="76">
        <v>46166</v>
      </c>
      <c r="B732" s="78">
        <v>2431</v>
      </c>
      <c r="C732" s="78" t="s">
        <v>26</v>
      </c>
      <c r="D732" t="s">
        <v>149</v>
      </c>
      <c r="E732" s="280">
        <v>313900</v>
      </c>
      <c r="F732" s="77">
        <v>318922</v>
      </c>
      <c r="G732" s="79">
        <v>46182</v>
      </c>
      <c r="H732">
        <v>12</v>
      </c>
    </row>
    <row r="733" spans="1:8" hidden="1" x14ac:dyDescent="0.25">
      <c r="A733" s="76">
        <v>46166</v>
      </c>
      <c r="B733" s="78">
        <v>2817</v>
      </c>
      <c r="C733" s="78" t="s">
        <v>26</v>
      </c>
      <c r="D733" t="s">
        <v>320</v>
      </c>
      <c r="E733" s="280">
        <v>841000</v>
      </c>
      <c r="F733" s="77">
        <v>841000</v>
      </c>
      <c r="G733" s="79">
        <v>46170</v>
      </c>
      <c r="H733">
        <v>6</v>
      </c>
    </row>
    <row r="734" spans="1:8" hidden="1" x14ac:dyDescent="0.25">
      <c r="A734" s="76">
        <v>46166</v>
      </c>
      <c r="B734" s="78">
        <v>2909</v>
      </c>
      <c r="C734" s="78" t="s">
        <v>26</v>
      </c>
      <c r="D734" t="s">
        <v>363</v>
      </c>
      <c r="E734" s="280">
        <v>1421200</v>
      </c>
      <c r="F734" s="77">
        <v>1421200</v>
      </c>
      <c r="G734" s="79">
        <v>46167</v>
      </c>
      <c r="H734">
        <v>5</v>
      </c>
    </row>
    <row r="735" spans="1:8" hidden="1" x14ac:dyDescent="0.25">
      <c r="A735" s="76">
        <v>46166</v>
      </c>
      <c r="B735" s="78">
        <v>2913</v>
      </c>
      <c r="C735" s="78" t="s">
        <v>26</v>
      </c>
      <c r="D735" t="s">
        <v>365</v>
      </c>
      <c r="E735" s="280">
        <v>588800</v>
      </c>
      <c r="F735" s="77">
        <v>588800</v>
      </c>
      <c r="G735" s="79">
        <v>46169</v>
      </c>
      <c r="H735">
        <v>5</v>
      </c>
    </row>
    <row r="736" spans="1:8" hidden="1" x14ac:dyDescent="0.25">
      <c r="A736" s="76">
        <v>46167</v>
      </c>
      <c r="B736" s="78">
        <v>2511</v>
      </c>
      <c r="C736" s="78" t="s">
        <v>26</v>
      </c>
      <c r="D736" t="s">
        <v>171</v>
      </c>
      <c r="E736" s="280">
        <v>712300</v>
      </c>
      <c r="F736" s="77">
        <v>732957</v>
      </c>
      <c r="G736" s="79">
        <v>46196</v>
      </c>
      <c r="H736">
        <v>11</v>
      </c>
    </row>
    <row r="737" spans="1:8" hidden="1" x14ac:dyDescent="0.25">
      <c r="A737" s="76">
        <v>46167</v>
      </c>
      <c r="B737" s="78">
        <v>2825</v>
      </c>
      <c r="C737" s="78" t="s">
        <v>26</v>
      </c>
      <c r="D737" t="s">
        <v>322</v>
      </c>
      <c r="E737" s="280">
        <v>619100</v>
      </c>
      <c r="F737" s="77">
        <v>619100</v>
      </c>
      <c r="G737" s="79">
        <v>46151</v>
      </c>
      <c r="H737">
        <v>6</v>
      </c>
    </row>
    <row r="738" spans="1:8" hidden="1" x14ac:dyDescent="0.25">
      <c r="A738" s="76">
        <v>46167</v>
      </c>
      <c r="B738" s="78">
        <v>2826</v>
      </c>
      <c r="C738" s="78" t="s">
        <v>26</v>
      </c>
      <c r="D738" t="s">
        <v>324</v>
      </c>
      <c r="E738" s="280">
        <v>1379900</v>
      </c>
      <c r="F738" s="77">
        <v>1379900</v>
      </c>
      <c r="G738" s="79">
        <v>46168</v>
      </c>
      <c r="H738">
        <v>6</v>
      </c>
    </row>
    <row r="739" spans="1:8" hidden="1" x14ac:dyDescent="0.25">
      <c r="A739" s="76">
        <v>46167</v>
      </c>
      <c r="B739" s="78">
        <v>2828</v>
      </c>
      <c r="C739" s="78" t="s">
        <v>26</v>
      </c>
      <c r="D739" t="s">
        <v>309</v>
      </c>
      <c r="E739" s="280">
        <v>441300</v>
      </c>
      <c r="F739" s="77">
        <v>441300</v>
      </c>
      <c r="G739" s="79">
        <v>46175</v>
      </c>
      <c r="H739">
        <v>6</v>
      </c>
    </row>
    <row r="740" spans="1:8" hidden="1" x14ac:dyDescent="0.25">
      <c r="A740" s="76">
        <v>46167</v>
      </c>
      <c r="B740" s="78">
        <v>3151</v>
      </c>
      <c r="C740" s="78" t="s">
        <v>26</v>
      </c>
      <c r="D740" t="s">
        <v>444</v>
      </c>
      <c r="E740" s="280">
        <v>614700</v>
      </c>
      <c r="F740" s="77">
        <v>614700</v>
      </c>
      <c r="G740" s="79">
        <v>46174</v>
      </c>
      <c r="H740">
        <v>2</v>
      </c>
    </row>
    <row r="741" spans="1:8" hidden="1" x14ac:dyDescent="0.25">
      <c r="A741" s="76">
        <v>46167</v>
      </c>
      <c r="B741" s="78">
        <v>51</v>
      </c>
      <c r="C741" s="78" t="s">
        <v>26</v>
      </c>
      <c r="D741" t="s">
        <v>523</v>
      </c>
      <c r="E741" s="280">
        <v>242200</v>
      </c>
      <c r="F741" s="77">
        <v>242200</v>
      </c>
      <c r="G741" s="79">
        <v>46167</v>
      </c>
      <c r="H741">
        <v>1</v>
      </c>
    </row>
    <row r="742" spans="1:8" x14ac:dyDescent="0.25">
      <c r="A742" s="76">
        <v>46168</v>
      </c>
      <c r="B742" s="78">
        <v>2290</v>
      </c>
      <c r="C742" s="78" t="s">
        <v>26</v>
      </c>
      <c r="D742" t="s">
        <v>95</v>
      </c>
      <c r="E742" s="280">
        <v>629900</v>
      </c>
      <c r="H742">
        <v>14</v>
      </c>
    </row>
    <row r="743" spans="1:8" hidden="1" x14ac:dyDescent="0.25">
      <c r="A743" s="76">
        <v>46168</v>
      </c>
      <c r="B743" s="78">
        <v>2515</v>
      </c>
      <c r="C743" s="78" t="s">
        <v>26</v>
      </c>
      <c r="D743" t="s">
        <v>174</v>
      </c>
      <c r="E743" s="280">
        <v>804500</v>
      </c>
      <c r="F743" s="77">
        <v>804500</v>
      </c>
      <c r="G743" s="79">
        <v>46174</v>
      </c>
      <c r="H743">
        <v>11</v>
      </c>
    </row>
    <row r="744" spans="1:8" hidden="1" x14ac:dyDescent="0.25">
      <c r="A744" s="76">
        <v>46168</v>
      </c>
      <c r="B744" s="78">
        <v>2919</v>
      </c>
      <c r="C744" s="78" t="s">
        <v>26</v>
      </c>
      <c r="D744" t="s">
        <v>369</v>
      </c>
      <c r="E744" s="280">
        <v>440800</v>
      </c>
      <c r="F744" s="77">
        <v>440800</v>
      </c>
      <c r="G744" s="79">
        <v>46144</v>
      </c>
      <c r="H744">
        <v>5</v>
      </c>
    </row>
    <row r="745" spans="1:8" hidden="1" x14ac:dyDescent="0.25">
      <c r="A745" s="76">
        <v>46168</v>
      </c>
      <c r="B745" s="78">
        <v>2921</v>
      </c>
      <c r="C745" s="78" t="s">
        <v>26</v>
      </c>
      <c r="D745" t="s">
        <v>367</v>
      </c>
      <c r="E745" s="280">
        <v>1091100</v>
      </c>
      <c r="F745" s="77">
        <v>1091100</v>
      </c>
      <c r="G745" s="79">
        <v>46169</v>
      </c>
      <c r="H745">
        <v>5</v>
      </c>
    </row>
    <row r="746" spans="1:8" hidden="1" x14ac:dyDescent="0.25">
      <c r="A746" s="76">
        <v>46168</v>
      </c>
      <c r="B746" s="78">
        <v>3157</v>
      </c>
      <c r="C746" s="78" t="s">
        <v>26</v>
      </c>
      <c r="D746" t="s">
        <v>447</v>
      </c>
      <c r="E746" s="280">
        <v>407700</v>
      </c>
      <c r="F746" s="77">
        <v>407700</v>
      </c>
      <c r="G746" s="79">
        <v>46169</v>
      </c>
      <c r="H746">
        <v>2</v>
      </c>
    </row>
    <row r="747" spans="1:8" x14ac:dyDescent="0.25">
      <c r="A747" s="76">
        <v>46169</v>
      </c>
      <c r="B747" s="78">
        <v>2662</v>
      </c>
      <c r="C747" s="78" t="s">
        <v>26</v>
      </c>
      <c r="D747" t="s">
        <v>236</v>
      </c>
      <c r="E747" s="280">
        <v>869800</v>
      </c>
      <c r="H747">
        <v>9</v>
      </c>
    </row>
    <row r="748" spans="1:8" x14ac:dyDescent="0.25">
      <c r="A748" s="76">
        <v>46169</v>
      </c>
      <c r="B748" s="78">
        <v>2731</v>
      </c>
      <c r="C748" s="78" t="s">
        <v>26</v>
      </c>
      <c r="D748" t="s">
        <v>278</v>
      </c>
      <c r="E748" s="280">
        <v>1096900</v>
      </c>
      <c r="H748">
        <v>8</v>
      </c>
    </row>
    <row r="749" spans="1:8" x14ac:dyDescent="0.25">
      <c r="A749" s="76">
        <v>46169</v>
      </c>
      <c r="B749" s="78">
        <v>2768</v>
      </c>
      <c r="C749" s="78" t="s">
        <v>26</v>
      </c>
      <c r="D749" t="s">
        <v>295</v>
      </c>
      <c r="E749" s="280">
        <v>537100</v>
      </c>
      <c r="H749">
        <v>7</v>
      </c>
    </row>
    <row r="750" spans="1:8" hidden="1" x14ac:dyDescent="0.25">
      <c r="A750" s="76">
        <v>46169</v>
      </c>
      <c r="B750" s="78">
        <v>3082</v>
      </c>
      <c r="C750" s="78" t="s">
        <v>26</v>
      </c>
      <c r="D750" t="s">
        <v>439</v>
      </c>
      <c r="E750" s="280">
        <v>672000</v>
      </c>
      <c r="F750" s="77">
        <v>672000</v>
      </c>
      <c r="G750" s="79">
        <v>46161</v>
      </c>
      <c r="H750">
        <v>3</v>
      </c>
    </row>
    <row r="751" spans="1:8" hidden="1" x14ac:dyDescent="0.25">
      <c r="A751" s="76">
        <v>46170</v>
      </c>
      <c r="B751" s="78">
        <v>2517</v>
      </c>
      <c r="C751" s="78" t="s">
        <v>26</v>
      </c>
      <c r="D751" t="s">
        <v>176</v>
      </c>
      <c r="E751" s="280">
        <v>728700</v>
      </c>
      <c r="F751" s="77">
        <v>728700</v>
      </c>
      <c r="G751" s="79">
        <v>46170</v>
      </c>
      <c r="H751">
        <v>11</v>
      </c>
    </row>
    <row r="752" spans="1:8" hidden="1" x14ac:dyDescent="0.25">
      <c r="A752" s="76">
        <v>46171</v>
      </c>
      <c r="B752" s="78">
        <v>2588</v>
      </c>
      <c r="C752" s="78" t="s">
        <v>26</v>
      </c>
      <c r="D752" t="s">
        <v>201</v>
      </c>
      <c r="E752" s="280">
        <v>792000</v>
      </c>
      <c r="F752" s="77">
        <v>581125</v>
      </c>
      <c r="G752" s="79">
        <v>45976</v>
      </c>
      <c r="H752">
        <v>10</v>
      </c>
    </row>
    <row r="753" spans="1:8" hidden="1" x14ac:dyDescent="0.25">
      <c r="A753" s="76">
        <v>46171</v>
      </c>
      <c r="B753" s="78">
        <v>912</v>
      </c>
      <c r="C753" s="78" t="s">
        <v>240</v>
      </c>
      <c r="D753" t="s">
        <v>241</v>
      </c>
      <c r="E753" s="280">
        <v>605800</v>
      </c>
      <c r="F753" s="77">
        <v>444478</v>
      </c>
      <c r="G753" s="79">
        <v>45996</v>
      </c>
      <c r="H753">
        <v>10</v>
      </c>
    </row>
    <row r="754" spans="1:8" hidden="1" x14ac:dyDescent="0.25">
      <c r="A754" s="76">
        <v>46171</v>
      </c>
      <c r="B754" s="78">
        <v>2835</v>
      </c>
      <c r="C754" s="78" t="s">
        <v>26</v>
      </c>
      <c r="D754" t="s">
        <v>326</v>
      </c>
      <c r="E754" s="280">
        <v>1379900</v>
      </c>
      <c r="F754" s="77">
        <v>1379900</v>
      </c>
      <c r="G754" s="79">
        <v>46044</v>
      </c>
      <c r="H754">
        <v>6</v>
      </c>
    </row>
    <row r="755" spans="1:8" hidden="1" x14ac:dyDescent="0.25">
      <c r="A755" s="76">
        <v>46170</v>
      </c>
      <c r="B755" s="78">
        <v>2990</v>
      </c>
      <c r="C755" s="78" t="s">
        <v>26</v>
      </c>
      <c r="D755" t="s">
        <v>412</v>
      </c>
      <c r="E755" s="280">
        <v>1028500</v>
      </c>
      <c r="F755" s="77">
        <v>1028500</v>
      </c>
      <c r="G755" s="79">
        <v>46167</v>
      </c>
      <c r="H755">
        <v>4</v>
      </c>
    </row>
    <row r="756" spans="1:8" x14ac:dyDescent="0.25">
      <c r="A756" s="76">
        <v>46170</v>
      </c>
      <c r="B756" s="78">
        <v>3086</v>
      </c>
      <c r="C756" s="78" t="s">
        <v>26</v>
      </c>
      <c r="D756" t="s">
        <v>441</v>
      </c>
      <c r="E756" s="280">
        <v>407700</v>
      </c>
      <c r="H756">
        <v>3</v>
      </c>
    </row>
    <row r="757" spans="1:8" hidden="1" x14ac:dyDescent="0.25">
      <c r="A757" s="76">
        <v>46172</v>
      </c>
      <c r="B757" s="78">
        <v>2674</v>
      </c>
      <c r="C757" s="78" t="s">
        <v>26</v>
      </c>
      <c r="D757" t="s">
        <v>238</v>
      </c>
      <c r="E757" s="77">
        <v>1080900</v>
      </c>
      <c r="F757" s="77">
        <v>1080900</v>
      </c>
      <c r="G757" s="79">
        <v>46177</v>
      </c>
      <c r="H757">
        <v>9</v>
      </c>
    </row>
    <row r="758" spans="1:8" hidden="1" x14ac:dyDescent="0.25">
      <c r="A758" s="76">
        <v>46172</v>
      </c>
      <c r="B758" s="78">
        <v>2936</v>
      </c>
      <c r="C758" s="78" t="s">
        <v>26</v>
      </c>
      <c r="D758" t="s">
        <v>372</v>
      </c>
      <c r="E758" s="77">
        <v>488500</v>
      </c>
      <c r="F758" s="77">
        <v>488500</v>
      </c>
      <c r="G758" s="79">
        <v>46172</v>
      </c>
      <c r="H758">
        <v>5</v>
      </c>
    </row>
    <row r="759" spans="1:8" hidden="1" x14ac:dyDescent="0.25">
      <c r="A759" s="76">
        <v>46172</v>
      </c>
      <c r="B759" s="78">
        <v>3168</v>
      </c>
      <c r="C759" s="78" t="s">
        <v>26</v>
      </c>
      <c r="D759" t="s">
        <v>449</v>
      </c>
      <c r="E759" s="77">
        <v>659900</v>
      </c>
      <c r="F759" s="77">
        <v>659900</v>
      </c>
      <c r="G759" s="79">
        <v>46175</v>
      </c>
      <c r="H759">
        <v>2</v>
      </c>
    </row>
    <row r="760" spans="1:8" hidden="1" x14ac:dyDescent="0.25">
      <c r="A760" s="76">
        <v>46172</v>
      </c>
      <c r="B760" s="78">
        <v>3172</v>
      </c>
      <c r="C760" s="78" t="s">
        <v>26</v>
      </c>
      <c r="D760" t="s">
        <v>451</v>
      </c>
      <c r="E760" s="77">
        <v>645700</v>
      </c>
      <c r="F760" s="77">
        <v>645700</v>
      </c>
      <c r="G760" s="79">
        <v>46176</v>
      </c>
      <c r="H760">
        <v>2</v>
      </c>
    </row>
    <row r="761" spans="1:8" hidden="1" x14ac:dyDescent="0.25">
      <c r="A761" s="76">
        <v>46172</v>
      </c>
      <c r="B761" s="78">
        <v>3173</v>
      </c>
      <c r="C761" s="78" t="s">
        <v>26</v>
      </c>
      <c r="D761" t="s">
        <v>453</v>
      </c>
      <c r="E761" s="77">
        <v>1971000</v>
      </c>
      <c r="F761" s="77">
        <v>1971000</v>
      </c>
      <c r="G761" s="79">
        <v>46178</v>
      </c>
      <c r="H761">
        <v>2</v>
      </c>
    </row>
    <row r="762" spans="1:8" hidden="1" x14ac:dyDescent="0.25">
      <c r="A762" s="76">
        <v>46172</v>
      </c>
      <c r="B762" s="78">
        <v>62</v>
      </c>
      <c r="C762" s="78" t="s">
        <v>26</v>
      </c>
      <c r="D762" t="s">
        <v>526</v>
      </c>
      <c r="E762" s="77">
        <v>1107200</v>
      </c>
      <c r="F762" s="77">
        <v>1107200</v>
      </c>
      <c r="G762" s="79">
        <v>46172</v>
      </c>
      <c r="H762">
        <v>1</v>
      </c>
    </row>
    <row r="763" spans="1:8" hidden="1" x14ac:dyDescent="0.25">
      <c r="A763" s="76">
        <v>46172</v>
      </c>
      <c r="B763" s="78">
        <v>65</v>
      </c>
      <c r="C763" s="78" t="s">
        <v>26</v>
      </c>
      <c r="D763" t="s">
        <v>527</v>
      </c>
      <c r="E763" s="77">
        <v>353500</v>
      </c>
      <c r="F763" s="77">
        <v>353500</v>
      </c>
      <c r="G763" s="79">
        <v>46170</v>
      </c>
      <c r="H763">
        <v>1</v>
      </c>
    </row>
    <row r="764" spans="1:8" hidden="1" x14ac:dyDescent="0.25">
      <c r="A764" s="76">
        <v>46173</v>
      </c>
      <c r="B764" s="78">
        <v>2597</v>
      </c>
      <c r="C764" s="78" t="s">
        <v>26</v>
      </c>
      <c r="D764" t="s">
        <v>204</v>
      </c>
      <c r="E764" s="77">
        <v>578500</v>
      </c>
      <c r="F764" s="77">
        <v>578500</v>
      </c>
      <c r="G764" s="79">
        <v>46175</v>
      </c>
      <c r="H764">
        <v>10</v>
      </c>
    </row>
    <row r="765" spans="1:8" hidden="1" x14ac:dyDescent="0.25">
      <c r="A765" s="76">
        <v>46173</v>
      </c>
      <c r="B765" s="78">
        <v>2998</v>
      </c>
      <c r="C765" s="78" t="s">
        <v>26</v>
      </c>
      <c r="D765" t="s">
        <v>426</v>
      </c>
      <c r="E765" s="77">
        <v>1034400</v>
      </c>
      <c r="F765" s="77">
        <v>1034400</v>
      </c>
      <c r="G765" s="79">
        <v>46177</v>
      </c>
      <c r="H765">
        <v>4</v>
      </c>
    </row>
    <row r="766" spans="1:8" hidden="1" x14ac:dyDescent="0.25">
      <c r="A766" s="76">
        <v>46173</v>
      </c>
      <c r="B766" s="78">
        <v>3007</v>
      </c>
      <c r="C766" s="78" t="s">
        <v>26</v>
      </c>
      <c r="D766" t="s">
        <v>428</v>
      </c>
      <c r="E766" s="77">
        <v>861400</v>
      </c>
      <c r="F766" s="77">
        <v>861400</v>
      </c>
      <c r="G766" s="79">
        <v>46176</v>
      </c>
      <c r="H766">
        <v>4</v>
      </c>
    </row>
    <row r="767" spans="1:8" x14ac:dyDescent="0.25">
      <c r="A767" s="76">
        <v>46173</v>
      </c>
      <c r="B767" s="78">
        <v>3008</v>
      </c>
      <c r="C767" s="78" t="s">
        <v>26</v>
      </c>
      <c r="D767" t="s">
        <v>430</v>
      </c>
      <c r="E767" s="77">
        <v>813500</v>
      </c>
      <c r="H767">
        <v>4</v>
      </c>
    </row>
    <row r="768" spans="1:8" hidden="1" x14ac:dyDescent="0.25">
      <c r="A768" s="76">
        <v>46173</v>
      </c>
      <c r="B768" s="78">
        <v>3175</v>
      </c>
      <c r="C768" s="78" t="s">
        <v>26</v>
      </c>
      <c r="D768" t="s">
        <v>455</v>
      </c>
      <c r="E768" s="77">
        <v>1617200</v>
      </c>
      <c r="F768" s="149">
        <v>1617200</v>
      </c>
      <c r="G768" s="79">
        <v>46174</v>
      </c>
      <c r="H768">
        <v>2</v>
      </c>
    </row>
    <row r="769" spans="1:8" hidden="1" x14ac:dyDescent="0.25">
      <c r="A769" s="76">
        <v>46174</v>
      </c>
      <c r="B769" s="78">
        <v>2311</v>
      </c>
      <c r="C769" s="78" t="s">
        <v>26</v>
      </c>
      <c r="D769" t="s">
        <v>93</v>
      </c>
      <c r="E769" s="77">
        <v>418100</v>
      </c>
      <c r="F769" s="77">
        <v>418100</v>
      </c>
      <c r="G769" s="79">
        <v>46172</v>
      </c>
      <c r="H769">
        <v>14</v>
      </c>
    </row>
    <row r="770" spans="1:8" hidden="1" x14ac:dyDescent="0.25">
      <c r="A770" s="76">
        <v>46174</v>
      </c>
      <c r="B770" s="78">
        <v>2677</v>
      </c>
      <c r="C770" s="78" t="s">
        <v>26</v>
      </c>
      <c r="D770" t="s">
        <v>255</v>
      </c>
      <c r="E770" s="77">
        <v>1033600</v>
      </c>
      <c r="F770" s="77">
        <v>1033600</v>
      </c>
      <c r="G770" s="79">
        <v>46177</v>
      </c>
      <c r="H770">
        <v>9</v>
      </c>
    </row>
    <row r="771" spans="1:8" hidden="1" x14ac:dyDescent="0.25">
      <c r="A771" s="76">
        <v>46174</v>
      </c>
      <c r="B771" s="78">
        <v>2839</v>
      </c>
      <c r="C771" s="78" t="s">
        <v>26</v>
      </c>
      <c r="D771" t="s">
        <v>328</v>
      </c>
      <c r="E771" s="77">
        <v>1376500</v>
      </c>
      <c r="F771" s="77">
        <v>1329996</v>
      </c>
      <c r="G771" s="79">
        <v>46133</v>
      </c>
      <c r="H771">
        <v>6</v>
      </c>
    </row>
    <row r="772" spans="1:8" hidden="1" x14ac:dyDescent="0.25">
      <c r="A772" s="76">
        <v>46174</v>
      </c>
      <c r="B772" s="78">
        <v>1047</v>
      </c>
      <c r="C772" s="78" t="s">
        <v>240</v>
      </c>
      <c r="D772" t="s">
        <v>346</v>
      </c>
      <c r="E772" s="77">
        <v>1360600</v>
      </c>
      <c r="F772" s="77">
        <v>1360600</v>
      </c>
      <c r="G772" s="79">
        <v>46177</v>
      </c>
      <c r="H772">
        <v>6</v>
      </c>
    </row>
    <row r="773" spans="1:8" hidden="1" x14ac:dyDescent="0.25">
      <c r="A773" s="76">
        <v>46176</v>
      </c>
      <c r="B773" s="78">
        <v>2520</v>
      </c>
      <c r="C773" s="78" t="s">
        <v>26</v>
      </c>
      <c r="D773" t="s">
        <v>196</v>
      </c>
      <c r="E773" s="77">
        <v>481700</v>
      </c>
      <c r="F773" s="77">
        <v>481700</v>
      </c>
      <c r="G773" s="79">
        <v>46178</v>
      </c>
      <c r="H773">
        <v>11</v>
      </c>
    </row>
    <row r="774" spans="1:8" hidden="1" x14ac:dyDescent="0.25">
      <c r="A774" s="76">
        <v>46176</v>
      </c>
      <c r="B774" s="78">
        <v>2847</v>
      </c>
      <c r="C774" s="78" t="s">
        <v>26</v>
      </c>
      <c r="D774" t="s">
        <v>330</v>
      </c>
      <c r="E774" s="77">
        <v>419300</v>
      </c>
      <c r="F774" s="77">
        <v>423493</v>
      </c>
      <c r="G774" s="79">
        <v>46186</v>
      </c>
      <c r="H774">
        <v>6</v>
      </c>
    </row>
    <row r="775" spans="1:8" hidden="1" x14ac:dyDescent="0.25">
      <c r="A775" s="76">
        <v>46176</v>
      </c>
      <c r="B775" s="78">
        <v>1054</v>
      </c>
      <c r="C775" s="78" t="s">
        <v>240</v>
      </c>
      <c r="D775" t="s">
        <v>348</v>
      </c>
      <c r="E775" s="77">
        <v>1360600</v>
      </c>
      <c r="F775" s="77">
        <v>1357000</v>
      </c>
      <c r="G775" s="79">
        <v>46015</v>
      </c>
      <c r="H775">
        <v>6</v>
      </c>
    </row>
    <row r="776" spans="1:8" hidden="1" x14ac:dyDescent="0.25">
      <c r="A776" s="76">
        <v>46177</v>
      </c>
      <c r="B776" s="78">
        <v>2849</v>
      </c>
      <c r="C776" s="78" t="s">
        <v>26</v>
      </c>
      <c r="D776" t="s">
        <v>334</v>
      </c>
      <c r="E776" s="77">
        <v>365300</v>
      </c>
      <c r="F776" s="77">
        <v>365300</v>
      </c>
      <c r="G776" s="79">
        <v>46171</v>
      </c>
      <c r="H776">
        <v>6</v>
      </c>
    </row>
    <row r="777" spans="1:8" hidden="1" x14ac:dyDescent="0.25">
      <c r="A777" s="76">
        <v>46177</v>
      </c>
      <c r="B777" s="78">
        <v>2850</v>
      </c>
      <c r="C777" s="78" t="s">
        <v>26</v>
      </c>
      <c r="D777" t="s">
        <v>332</v>
      </c>
      <c r="E777" s="77">
        <v>615100</v>
      </c>
      <c r="F777" s="77">
        <v>615100</v>
      </c>
      <c r="G777" s="79">
        <v>46182</v>
      </c>
      <c r="H777">
        <v>6</v>
      </c>
    </row>
    <row r="778" spans="1:8" hidden="1" x14ac:dyDescent="0.25">
      <c r="A778" s="76">
        <v>46178</v>
      </c>
      <c r="B778" s="78">
        <v>2463</v>
      </c>
      <c r="C778" s="78" t="s">
        <v>26</v>
      </c>
      <c r="D778" t="s">
        <v>151</v>
      </c>
      <c r="E778" s="77">
        <v>782600</v>
      </c>
      <c r="F778" s="77">
        <v>756123</v>
      </c>
      <c r="G778" s="79">
        <v>46041</v>
      </c>
      <c r="H778">
        <v>12</v>
      </c>
    </row>
    <row r="779" spans="1:8" hidden="1" x14ac:dyDescent="0.25">
      <c r="A779" s="76">
        <v>46177</v>
      </c>
      <c r="B779" s="78">
        <v>2</v>
      </c>
      <c r="C779" s="78" t="s">
        <v>26</v>
      </c>
      <c r="D779" t="s">
        <v>457</v>
      </c>
      <c r="E779" s="77">
        <v>614700</v>
      </c>
      <c r="F779" s="77">
        <v>614700</v>
      </c>
      <c r="G779" s="79">
        <v>46177</v>
      </c>
      <c r="H779">
        <v>2</v>
      </c>
    </row>
    <row r="780" spans="1:8" ht="15" hidden="1" customHeight="1" x14ac:dyDescent="0.25">
      <c r="A780" s="76">
        <v>46178</v>
      </c>
      <c r="B780" s="78">
        <v>3099</v>
      </c>
      <c r="C780" s="78" t="s">
        <v>26</v>
      </c>
      <c r="D780" t="s">
        <v>443</v>
      </c>
      <c r="E780" s="77">
        <v>614700</v>
      </c>
      <c r="F780" s="77">
        <v>614700</v>
      </c>
      <c r="G780" s="79">
        <v>46178</v>
      </c>
      <c r="H780">
        <v>3</v>
      </c>
    </row>
    <row r="781" spans="1:8" hidden="1" x14ac:dyDescent="0.25">
      <c r="A781" s="76">
        <v>46178</v>
      </c>
      <c r="B781" s="78">
        <v>72</v>
      </c>
      <c r="C781" s="78" t="s">
        <v>26</v>
      </c>
      <c r="D781" t="s">
        <v>529</v>
      </c>
      <c r="E781" s="77">
        <v>450400</v>
      </c>
      <c r="F781" s="77">
        <v>450400</v>
      </c>
      <c r="G781" s="79">
        <v>46181</v>
      </c>
      <c r="H781">
        <v>1</v>
      </c>
    </row>
    <row r="782" spans="1:8" hidden="1" x14ac:dyDescent="0.25">
      <c r="A782" s="76">
        <v>46178</v>
      </c>
      <c r="B782" s="78">
        <v>73</v>
      </c>
      <c r="C782" s="78" t="s">
        <v>26</v>
      </c>
      <c r="D782" t="s">
        <v>530</v>
      </c>
      <c r="E782" s="77">
        <v>468900</v>
      </c>
      <c r="F782" s="77">
        <v>468900</v>
      </c>
      <c r="G782" s="79">
        <v>46178</v>
      </c>
      <c r="H782">
        <v>1</v>
      </c>
    </row>
    <row r="783" spans="1:8" hidden="1" x14ac:dyDescent="0.25">
      <c r="A783" s="76">
        <v>46179</v>
      </c>
      <c r="B783" s="78">
        <v>2858</v>
      </c>
      <c r="C783" s="78" t="s">
        <v>26</v>
      </c>
      <c r="D783" t="s">
        <v>336</v>
      </c>
      <c r="E783" s="77">
        <v>779300</v>
      </c>
      <c r="F783" s="77">
        <v>800341</v>
      </c>
      <c r="G783" s="79">
        <v>46206</v>
      </c>
      <c r="H783">
        <v>6</v>
      </c>
    </row>
    <row r="784" spans="1:8" hidden="1" x14ac:dyDescent="0.25">
      <c r="A784" s="76">
        <v>46179</v>
      </c>
      <c r="B784" s="78">
        <v>2948</v>
      </c>
      <c r="C784" s="78" t="s">
        <v>26</v>
      </c>
      <c r="D784" t="s">
        <v>379</v>
      </c>
      <c r="E784" s="77">
        <v>298000</v>
      </c>
      <c r="F784" s="77">
        <v>301874</v>
      </c>
      <c r="G784" s="79">
        <v>46192</v>
      </c>
      <c r="H784">
        <v>5</v>
      </c>
    </row>
    <row r="785" spans="1:9" hidden="1" x14ac:dyDescent="0.25">
      <c r="A785" s="76">
        <v>46179</v>
      </c>
      <c r="B785" s="78">
        <v>5</v>
      </c>
      <c r="C785" s="78" t="s">
        <v>26</v>
      </c>
      <c r="D785" t="s">
        <v>461</v>
      </c>
      <c r="E785" s="77">
        <v>714200</v>
      </c>
      <c r="F785" s="77">
        <v>714200</v>
      </c>
      <c r="G785" s="79">
        <v>46182</v>
      </c>
      <c r="H785">
        <v>2</v>
      </c>
    </row>
    <row r="786" spans="1:9" hidden="1" x14ac:dyDescent="0.25">
      <c r="A786" s="76">
        <v>46180</v>
      </c>
      <c r="B786" s="78">
        <v>78</v>
      </c>
      <c r="C786" s="78" t="s">
        <v>26</v>
      </c>
      <c r="D786" t="s">
        <v>531</v>
      </c>
      <c r="E786" s="77">
        <v>614700</v>
      </c>
      <c r="F786" s="77">
        <v>614700</v>
      </c>
      <c r="G786" s="79">
        <v>46179</v>
      </c>
      <c r="H786">
        <v>1</v>
      </c>
    </row>
    <row r="787" spans="1:9" hidden="1" x14ac:dyDescent="0.25">
      <c r="A787" s="76">
        <v>46181</v>
      </c>
      <c r="B787" s="78">
        <v>2860</v>
      </c>
      <c r="C787" s="78" t="s">
        <v>26</v>
      </c>
      <c r="D787" t="s">
        <v>338</v>
      </c>
      <c r="E787" s="77">
        <v>1218500</v>
      </c>
      <c r="F787" s="77">
        <v>1218500</v>
      </c>
      <c r="G787" s="79">
        <v>46183</v>
      </c>
      <c r="H787">
        <v>6</v>
      </c>
    </row>
    <row r="788" spans="1:9" hidden="1" x14ac:dyDescent="0.25">
      <c r="A788" s="76">
        <v>46181</v>
      </c>
      <c r="B788" s="78">
        <v>80</v>
      </c>
      <c r="C788" s="78" t="s">
        <v>26</v>
      </c>
      <c r="D788" t="s">
        <v>532</v>
      </c>
      <c r="E788" s="77">
        <v>134100</v>
      </c>
      <c r="F788" s="77">
        <v>134100</v>
      </c>
      <c r="G788" s="79">
        <v>46178</v>
      </c>
      <c r="H788">
        <v>1</v>
      </c>
    </row>
    <row r="789" spans="1:9" ht="15" hidden="1" customHeight="1" x14ac:dyDescent="0.25">
      <c r="A789" s="76">
        <v>46182</v>
      </c>
      <c r="B789" s="78">
        <v>2620</v>
      </c>
      <c r="C789" s="78" t="s">
        <v>26</v>
      </c>
      <c r="D789" t="s">
        <v>232</v>
      </c>
      <c r="E789" s="77">
        <v>780600</v>
      </c>
      <c r="F789" s="77">
        <v>794651</v>
      </c>
      <c r="G789" s="79">
        <v>46200</v>
      </c>
      <c r="H789">
        <v>10</v>
      </c>
    </row>
    <row r="790" spans="1:9" x14ac:dyDescent="0.25">
      <c r="A790" s="76">
        <v>46182</v>
      </c>
      <c r="B790" s="78">
        <v>883</v>
      </c>
      <c r="C790" s="78" t="s">
        <v>240</v>
      </c>
      <c r="D790" t="s">
        <v>243</v>
      </c>
      <c r="E790" s="77">
        <v>287300</v>
      </c>
      <c r="H790">
        <v>11</v>
      </c>
    </row>
    <row r="791" spans="1:9" hidden="1" x14ac:dyDescent="0.25">
      <c r="A791" s="76">
        <v>46182</v>
      </c>
      <c r="B791" s="78">
        <v>2861</v>
      </c>
      <c r="C791" s="78" t="s">
        <v>26</v>
      </c>
      <c r="D791" t="s">
        <v>340</v>
      </c>
      <c r="E791" s="77">
        <v>308200</v>
      </c>
      <c r="F791" s="77">
        <v>308200</v>
      </c>
      <c r="G791" s="79">
        <v>46179</v>
      </c>
      <c r="H791">
        <v>6</v>
      </c>
    </row>
    <row r="792" spans="1:9" hidden="1" x14ac:dyDescent="0.25">
      <c r="A792" s="76">
        <v>46182</v>
      </c>
      <c r="B792" s="78">
        <v>1059</v>
      </c>
      <c r="C792" s="78" t="s">
        <v>240</v>
      </c>
      <c r="D792" t="s">
        <v>350</v>
      </c>
      <c r="E792" s="77">
        <v>1313700</v>
      </c>
      <c r="F792" s="77">
        <v>1313700</v>
      </c>
      <c r="G792" s="79">
        <v>46000</v>
      </c>
      <c r="H792">
        <v>6</v>
      </c>
    </row>
    <row r="793" spans="1:9" hidden="1" x14ac:dyDescent="0.25">
      <c r="A793" s="76">
        <v>46183</v>
      </c>
      <c r="B793" s="78">
        <v>2399</v>
      </c>
      <c r="C793" s="78" t="s">
        <v>26</v>
      </c>
      <c r="D793" t="s">
        <v>121</v>
      </c>
      <c r="E793" s="77">
        <v>564700</v>
      </c>
      <c r="F793" s="77">
        <v>564700</v>
      </c>
      <c r="G793" s="79">
        <v>46063</v>
      </c>
      <c r="H793">
        <v>13</v>
      </c>
    </row>
    <row r="794" spans="1:9" x14ac:dyDescent="0.25">
      <c r="A794" s="76">
        <v>46183</v>
      </c>
      <c r="B794" s="78">
        <v>2473</v>
      </c>
      <c r="C794" s="78" t="s">
        <v>26</v>
      </c>
      <c r="D794" t="s">
        <v>164</v>
      </c>
      <c r="E794" s="77">
        <v>1002083</v>
      </c>
      <c r="H794">
        <v>12</v>
      </c>
    </row>
    <row r="795" spans="1:9" hidden="1" x14ac:dyDescent="0.25">
      <c r="A795" s="76">
        <v>46183</v>
      </c>
      <c r="B795" s="78">
        <v>2864</v>
      </c>
      <c r="C795" s="78" t="s">
        <v>26</v>
      </c>
      <c r="D795" t="s">
        <v>344</v>
      </c>
      <c r="E795" s="77">
        <v>1376500</v>
      </c>
      <c r="F795" s="77">
        <v>1376500</v>
      </c>
      <c r="G795" s="79">
        <v>46183</v>
      </c>
      <c r="H795">
        <v>6</v>
      </c>
    </row>
    <row r="796" spans="1:9" hidden="1" x14ac:dyDescent="0.25">
      <c r="A796" s="76">
        <v>46183</v>
      </c>
      <c r="B796" s="78">
        <v>3114</v>
      </c>
      <c r="C796" s="78" t="s">
        <v>26</v>
      </c>
      <c r="D796" t="s">
        <v>459</v>
      </c>
      <c r="E796" s="77">
        <v>1072700</v>
      </c>
      <c r="F796" s="77">
        <v>1072700</v>
      </c>
      <c r="G796" s="79">
        <v>46175</v>
      </c>
      <c r="H796">
        <v>3</v>
      </c>
    </row>
    <row r="797" spans="1:9" hidden="1" x14ac:dyDescent="0.25">
      <c r="A797" s="76">
        <v>46184</v>
      </c>
      <c r="B797" s="78">
        <v>86</v>
      </c>
      <c r="C797" s="78" t="s">
        <v>26</v>
      </c>
      <c r="D797" t="s">
        <v>534</v>
      </c>
      <c r="E797" s="77">
        <v>1021400</v>
      </c>
      <c r="F797" s="77">
        <v>1032635</v>
      </c>
      <c r="G797" s="79">
        <v>46197</v>
      </c>
      <c r="H797">
        <v>1</v>
      </c>
      <c r="I797" s="290"/>
    </row>
    <row r="798" spans="1:9" hidden="1" x14ac:dyDescent="0.25">
      <c r="A798" s="76">
        <v>46187</v>
      </c>
      <c r="B798" s="78">
        <v>2405</v>
      </c>
      <c r="C798" s="78" t="s">
        <v>26</v>
      </c>
      <c r="D798" t="s">
        <v>129</v>
      </c>
      <c r="E798" s="77">
        <v>418100</v>
      </c>
      <c r="F798" s="77">
        <v>418100</v>
      </c>
      <c r="G798" s="79">
        <v>46191</v>
      </c>
      <c r="H798">
        <v>13</v>
      </c>
    </row>
    <row r="799" spans="1:9" hidden="1" x14ac:dyDescent="0.25">
      <c r="A799" s="76">
        <v>46189</v>
      </c>
      <c r="B799" s="78">
        <v>2878</v>
      </c>
      <c r="C799" s="78" t="s">
        <v>26</v>
      </c>
      <c r="D799" t="s">
        <v>361</v>
      </c>
      <c r="E799" s="77">
        <v>965900</v>
      </c>
      <c r="F799" s="77">
        <v>973627</v>
      </c>
      <c r="G799" s="79">
        <v>46197</v>
      </c>
      <c r="H799">
        <v>6</v>
      </c>
    </row>
    <row r="800" spans="1:9" hidden="1" x14ac:dyDescent="0.25">
      <c r="A800" s="76">
        <v>46190</v>
      </c>
      <c r="B800" s="78">
        <v>2566</v>
      </c>
      <c r="C800" s="78" t="s">
        <v>26</v>
      </c>
      <c r="D800" t="s">
        <v>200</v>
      </c>
      <c r="E800" s="77">
        <v>790200</v>
      </c>
      <c r="F800" s="77">
        <v>790200</v>
      </c>
      <c r="G800" s="79">
        <v>46190</v>
      </c>
      <c r="H800">
        <v>11</v>
      </c>
    </row>
    <row r="801" spans="1:8" hidden="1" x14ac:dyDescent="0.25">
      <c r="A801" s="76">
        <v>46190</v>
      </c>
      <c r="B801" s="78">
        <v>2967</v>
      </c>
      <c r="C801" s="78" t="s">
        <v>26</v>
      </c>
      <c r="D801" t="s">
        <v>396</v>
      </c>
      <c r="E801" s="77">
        <v>989800</v>
      </c>
      <c r="F801" s="77">
        <v>989800</v>
      </c>
      <c r="G801" s="79">
        <v>46179</v>
      </c>
      <c r="H801">
        <v>5</v>
      </c>
    </row>
    <row r="802" spans="1:8" hidden="1" x14ac:dyDescent="0.25">
      <c r="A802" s="76">
        <v>46190</v>
      </c>
      <c r="B802" s="78">
        <v>2968</v>
      </c>
      <c r="C802" s="78" t="s">
        <v>26</v>
      </c>
      <c r="D802" t="s">
        <v>398</v>
      </c>
      <c r="E802" s="77">
        <v>452200</v>
      </c>
      <c r="F802" s="77">
        <v>452200</v>
      </c>
      <c r="G802" s="79">
        <v>46189</v>
      </c>
      <c r="H802">
        <v>5</v>
      </c>
    </row>
    <row r="803" spans="1:8" ht="15" hidden="1" customHeight="1" x14ac:dyDescent="0.25">
      <c r="A803" s="76">
        <v>46191</v>
      </c>
      <c r="B803" s="78">
        <v>2493</v>
      </c>
      <c r="C803" s="78" t="s">
        <v>26</v>
      </c>
      <c r="D803" t="s">
        <v>166</v>
      </c>
      <c r="E803" s="77">
        <v>328300</v>
      </c>
      <c r="F803" s="77">
        <v>328300</v>
      </c>
      <c r="G803" s="79">
        <v>46207</v>
      </c>
      <c r="H803">
        <v>12</v>
      </c>
    </row>
    <row r="804" spans="1:8" x14ac:dyDescent="0.25">
      <c r="A804" s="76">
        <v>46191</v>
      </c>
      <c r="B804" s="78">
        <v>3060</v>
      </c>
      <c r="C804" s="78" t="s">
        <v>26</v>
      </c>
      <c r="D804" t="s">
        <v>432</v>
      </c>
      <c r="E804" s="77">
        <v>623600</v>
      </c>
      <c r="H804">
        <v>4</v>
      </c>
    </row>
    <row r="805" spans="1:8" hidden="1" x14ac:dyDescent="0.25">
      <c r="A805" s="76">
        <v>46191</v>
      </c>
      <c r="B805" s="78">
        <v>31</v>
      </c>
      <c r="C805" s="78" t="s">
        <v>26</v>
      </c>
      <c r="D805" t="s">
        <v>501</v>
      </c>
      <c r="E805" s="77">
        <v>581500</v>
      </c>
      <c r="F805" s="77">
        <v>581500</v>
      </c>
      <c r="G805" s="79">
        <v>46197</v>
      </c>
      <c r="H805">
        <v>2</v>
      </c>
    </row>
    <row r="806" spans="1:8" hidden="1" x14ac:dyDescent="0.25">
      <c r="A806" s="76">
        <v>46191</v>
      </c>
      <c r="B806" s="78">
        <v>32</v>
      </c>
      <c r="C806" s="78" t="s">
        <v>26</v>
      </c>
      <c r="D806" t="s">
        <v>503</v>
      </c>
      <c r="E806" s="77">
        <v>252500</v>
      </c>
      <c r="F806" s="77">
        <v>252500</v>
      </c>
      <c r="G806" s="79">
        <v>46190</v>
      </c>
      <c r="H806">
        <v>2</v>
      </c>
    </row>
    <row r="807" spans="1:8" hidden="1" x14ac:dyDescent="0.25">
      <c r="A807" s="76">
        <v>46192</v>
      </c>
      <c r="B807" s="78">
        <v>2494</v>
      </c>
      <c r="C807" s="78" t="s">
        <v>26</v>
      </c>
      <c r="D807" t="s">
        <v>168</v>
      </c>
      <c r="E807" s="77">
        <v>425600</v>
      </c>
      <c r="F807" s="77">
        <v>425600</v>
      </c>
      <c r="G807" s="79">
        <v>46192</v>
      </c>
      <c r="H807">
        <v>12</v>
      </c>
    </row>
    <row r="808" spans="1:8" hidden="1" x14ac:dyDescent="0.25">
      <c r="A808" s="76">
        <v>46192</v>
      </c>
      <c r="B808" s="78">
        <v>2637</v>
      </c>
      <c r="C808" s="78" t="s">
        <v>26</v>
      </c>
      <c r="D808" t="s">
        <v>221</v>
      </c>
      <c r="E808" s="77">
        <v>663300</v>
      </c>
      <c r="F808" s="77">
        <v>668606</v>
      </c>
      <c r="G808" s="79">
        <v>46200</v>
      </c>
      <c r="H808">
        <v>10</v>
      </c>
    </row>
    <row r="809" spans="1:8" x14ac:dyDescent="0.25">
      <c r="A809" s="76">
        <v>46192</v>
      </c>
      <c r="B809" s="78">
        <v>2810</v>
      </c>
      <c r="C809" s="78" t="s">
        <v>26</v>
      </c>
      <c r="D809" t="s">
        <v>318</v>
      </c>
      <c r="E809" s="77">
        <v>557500</v>
      </c>
      <c r="H809">
        <v>7</v>
      </c>
    </row>
    <row r="810" spans="1:8" x14ac:dyDescent="0.25">
      <c r="A810" s="76">
        <v>46192</v>
      </c>
      <c r="B810" s="78">
        <v>1110</v>
      </c>
      <c r="C810" s="78" t="s">
        <v>240</v>
      </c>
      <c r="D810" t="s">
        <v>419</v>
      </c>
      <c r="E810" s="77">
        <v>751300</v>
      </c>
      <c r="H810">
        <v>5</v>
      </c>
    </row>
    <row r="811" spans="1:8" hidden="1" x14ac:dyDescent="0.25">
      <c r="A811" s="76">
        <v>46192</v>
      </c>
      <c r="B811" s="78">
        <v>3062</v>
      </c>
      <c r="C811" s="78" t="s">
        <v>26</v>
      </c>
      <c r="D811" t="s">
        <v>435</v>
      </c>
      <c r="E811" s="77">
        <v>452200</v>
      </c>
      <c r="F811" s="77">
        <v>452200</v>
      </c>
      <c r="G811" s="79">
        <v>46183</v>
      </c>
      <c r="H811">
        <v>4</v>
      </c>
    </row>
    <row r="812" spans="1:8" hidden="1" x14ac:dyDescent="0.25">
      <c r="A812" s="76">
        <v>46193</v>
      </c>
      <c r="B812" s="78">
        <v>2498</v>
      </c>
      <c r="C812" s="78" t="s">
        <v>26</v>
      </c>
      <c r="D812" t="s">
        <v>153</v>
      </c>
      <c r="E812" s="77">
        <v>904200</v>
      </c>
      <c r="F812" s="77">
        <v>710686</v>
      </c>
      <c r="G812" s="79">
        <v>46112</v>
      </c>
      <c r="H812">
        <v>12</v>
      </c>
    </row>
    <row r="813" spans="1:8" x14ac:dyDescent="0.25">
      <c r="A813" s="76">
        <v>46193</v>
      </c>
      <c r="B813" s="78">
        <v>2640</v>
      </c>
      <c r="C813" s="78" t="s">
        <v>26</v>
      </c>
      <c r="D813" t="s">
        <v>234</v>
      </c>
      <c r="E813" s="77">
        <v>789900</v>
      </c>
      <c r="H813">
        <v>10</v>
      </c>
    </row>
    <row r="814" spans="1:8" hidden="1" x14ac:dyDescent="0.25">
      <c r="A814" s="76">
        <v>46193</v>
      </c>
      <c r="B814" s="78">
        <v>2973</v>
      </c>
      <c r="C814" s="78" t="s">
        <v>26</v>
      </c>
      <c r="D814" t="s">
        <v>400</v>
      </c>
      <c r="E814" s="77">
        <v>696400</v>
      </c>
      <c r="F814" s="77">
        <v>696400</v>
      </c>
      <c r="G814" s="79">
        <v>46192</v>
      </c>
      <c r="H814">
        <v>5</v>
      </c>
    </row>
    <row r="815" spans="1:8" x14ac:dyDescent="0.25">
      <c r="A815" s="76">
        <v>46193</v>
      </c>
      <c r="B815" s="78">
        <v>1111</v>
      </c>
      <c r="C815" s="78" t="s">
        <v>240</v>
      </c>
      <c r="D815" t="s">
        <v>422</v>
      </c>
      <c r="E815" s="77">
        <v>1360600</v>
      </c>
      <c r="H815">
        <v>5</v>
      </c>
    </row>
    <row r="816" spans="1:8" hidden="1" x14ac:dyDescent="0.25">
      <c r="A816" s="76">
        <v>46193</v>
      </c>
      <c r="B816" s="78">
        <v>3068</v>
      </c>
      <c r="C816" s="78" t="s">
        <v>26</v>
      </c>
      <c r="D816" t="s">
        <v>437</v>
      </c>
      <c r="E816" s="77">
        <v>450400</v>
      </c>
      <c r="F816" s="77">
        <v>450400</v>
      </c>
      <c r="G816" s="79">
        <v>46193</v>
      </c>
      <c r="H816">
        <v>4</v>
      </c>
    </row>
    <row r="817" spans="1:8" hidden="1" x14ac:dyDescent="0.25">
      <c r="A817" s="76">
        <v>46194</v>
      </c>
      <c r="B817" s="78">
        <v>2344</v>
      </c>
      <c r="C817" s="78" t="s">
        <v>26</v>
      </c>
      <c r="D817" t="s">
        <v>109</v>
      </c>
      <c r="E817" s="77">
        <v>317700</v>
      </c>
      <c r="F817" s="77">
        <v>320559</v>
      </c>
      <c r="G817" s="79">
        <v>46203</v>
      </c>
      <c r="H817">
        <v>14</v>
      </c>
    </row>
    <row r="818" spans="1:8" hidden="1" x14ac:dyDescent="0.25">
      <c r="A818" s="76">
        <v>46194</v>
      </c>
      <c r="B818" s="78">
        <v>2500</v>
      </c>
      <c r="C818" s="78" t="s">
        <v>26</v>
      </c>
      <c r="D818" t="s">
        <v>155</v>
      </c>
      <c r="E818" s="77">
        <v>600000</v>
      </c>
      <c r="F818" s="77">
        <v>600000</v>
      </c>
      <c r="G818" s="79">
        <v>46191</v>
      </c>
      <c r="H818">
        <v>12</v>
      </c>
    </row>
    <row r="819" spans="1:8" hidden="1" x14ac:dyDescent="0.25">
      <c r="A819" s="76">
        <v>46194</v>
      </c>
      <c r="B819" s="78">
        <v>2501</v>
      </c>
      <c r="C819" s="78" t="s">
        <v>26</v>
      </c>
      <c r="D819" t="s">
        <v>157</v>
      </c>
      <c r="E819" s="77">
        <v>325300</v>
      </c>
      <c r="F819" s="77">
        <v>255647</v>
      </c>
      <c r="G819" s="79">
        <v>46112</v>
      </c>
      <c r="H819">
        <v>12</v>
      </c>
    </row>
    <row r="820" spans="1:8" hidden="1" x14ac:dyDescent="0.25">
      <c r="A820" s="76">
        <v>46194</v>
      </c>
      <c r="B820" s="78">
        <v>2505</v>
      </c>
      <c r="C820" s="78" t="s">
        <v>26</v>
      </c>
      <c r="D820" t="s">
        <v>170</v>
      </c>
      <c r="E820" s="77">
        <v>901600</v>
      </c>
      <c r="F820" s="77">
        <v>871115</v>
      </c>
      <c r="G820" s="79">
        <v>46113</v>
      </c>
      <c r="H820">
        <v>12</v>
      </c>
    </row>
    <row r="821" spans="1:8" x14ac:dyDescent="0.25">
      <c r="A821" s="76">
        <v>46194</v>
      </c>
      <c r="B821" s="78">
        <v>1112</v>
      </c>
      <c r="C821" s="78" t="s">
        <v>240</v>
      </c>
      <c r="D821" t="s">
        <v>467</v>
      </c>
      <c r="E821" s="77">
        <v>649000</v>
      </c>
      <c r="H821">
        <v>5</v>
      </c>
    </row>
    <row r="822" spans="1:8" x14ac:dyDescent="0.25">
      <c r="A822" s="76">
        <v>46195</v>
      </c>
      <c r="B822" s="78">
        <v>2346</v>
      </c>
      <c r="C822" s="78" t="s">
        <v>26</v>
      </c>
      <c r="D822" t="s">
        <v>111</v>
      </c>
      <c r="E822" s="77">
        <v>656200</v>
      </c>
      <c r="H822">
        <v>14</v>
      </c>
    </row>
    <row r="823" spans="1:8" hidden="1" x14ac:dyDescent="0.25">
      <c r="A823" s="76">
        <v>46196</v>
      </c>
      <c r="B823" s="78">
        <v>2348</v>
      </c>
      <c r="C823" s="78" t="s">
        <v>26</v>
      </c>
      <c r="D823" t="s">
        <v>113</v>
      </c>
      <c r="E823" s="77">
        <v>393500</v>
      </c>
      <c r="F823" s="77">
        <v>331308</v>
      </c>
      <c r="G823" s="79">
        <v>45891</v>
      </c>
      <c r="H823">
        <v>14</v>
      </c>
    </row>
    <row r="824" spans="1:8" hidden="1" x14ac:dyDescent="0.25">
      <c r="A824" s="76">
        <v>46195</v>
      </c>
      <c r="B824" s="78">
        <v>117</v>
      </c>
      <c r="C824" s="78" t="s">
        <v>26</v>
      </c>
      <c r="D824" t="s">
        <v>545</v>
      </c>
      <c r="E824" s="77">
        <v>1030700</v>
      </c>
      <c r="F824" s="77">
        <v>1030700</v>
      </c>
      <c r="G824" s="79">
        <v>46195</v>
      </c>
      <c r="H824">
        <v>1</v>
      </c>
    </row>
    <row r="825" spans="1:8" hidden="1" x14ac:dyDescent="0.25">
      <c r="A825" s="76">
        <v>46196</v>
      </c>
      <c r="B825" s="78">
        <v>45</v>
      </c>
      <c r="C825" s="78" t="s">
        <v>26</v>
      </c>
      <c r="D825" t="s">
        <v>519</v>
      </c>
      <c r="E825" s="77">
        <v>658800</v>
      </c>
      <c r="F825" s="77">
        <v>658800</v>
      </c>
      <c r="G825" s="79">
        <v>46196</v>
      </c>
      <c r="H825">
        <v>2</v>
      </c>
    </row>
    <row r="826" spans="1:8" x14ac:dyDescent="0.25">
      <c r="A826" s="76">
        <v>46196</v>
      </c>
      <c r="B826" s="78">
        <v>47</v>
      </c>
      <c r="C826" s="78" t="s">
        <v>26</v>
      </c>
      <c r="D826" t="s">
        <v>522</v>
      </c>
      <c r="E826" s="77">
        <v>304200</v>
      </c>
      <c r="H826">
        <v>2</v>
      </c>
    </row>
    <row r="827" spans="1:8" hidden="1" x14ac:dyDescent="0.25">
      <c r="A827" s="76">
        <v>46196</v>
      </c>
      <c r="B827" s="78">
        <v>119</v>
      </c>
      <c r="C827" s="78" t="s">
        <v>26</v>
      </c>
      <c r="D827" t="s">
        <v>546</v>
      </c>
      <c r="E827" s="77">
        <v>803800</v>
      </c>
      <c r="F827" s="77">
        <v>803800</v>
      </c>
      <c r="G827" s="79">
        <v>46197</v>
      </c>
      <c r="H827">
        <v>1</v>
      </c>
    </row>
    <row r="828" spans="1:8" x14ac:dyDescent="0.25">
      <c r="A828" s="76">
        <v>46197</v>
      </c>
      <c r="B828" s="78">
        <v>2431</v>
      </c>
      <c r="C828" s="78" t="s">
        <v>26</v>
      </c>
      <c r="D828" t="s">
        <v>149</v>
      </c>
      <c r="E828" s="77">
        <v>313900</v>
      </c>
      <c r="H828">
        <v>13</v>
      </c>
    </row>
    <row r="829" spans="1:8" hidden="1" x14ac:dyDescent="0.25">
      <c r="A829" s="76">
        <v>46197</v>
      </c>
      <c r="B829" s="78">
        <v>2817</v>
      </c>
      <c r="C829" s="78" t="s">
        <v>26</v>
      </c>
      <c r="D829" t="s">
        <v>320</v>
      </c>
      <c r="E829" s="77">
        <v>841000</v>
      </c>
      <c r="F829" s="77">
        <v>841000</v>
      </c>
      <c r="G829" s="79">
        <v>46198</v>
      </c>
      <c r="H829">
        <v>7</v>
      </c>
    </row>
    <row r="830" spans="1:8" hidden="1" x14ac:dyDescent="0.25">
      <c r="A830" s="76">
        <v>46197</v>
      </c>
      <c r="B830" s="78">
        <v>2909</v>
      </c>
      <c r="C830" s="78" t="s">
        <v>26</v>
      </c>
      <c r="D830" t="s">
        <v>363</v>
      </c>
      <c r="E830" s="77">
        <v>1421200</v>
      </c>
      <c r="F830" s="77">
        <v>1421200</v>
      </c>
      <c r="G830" s="79">
        <v>46190</v>
      </c>
      <c r="H830">
        <v>6</v>
      </c>
    </row>
    <row r="831" spans="1:8" hidden="1" x14ac:dyDescent="0.25">
      <c r="A831" s="76">
        <v>46197</v>
      </c>
      <c r="B831" s="78">
        <v>2913</v>
      </c>
      <c r="C831" s="78" t="s">
        <v>26</v>
      </c>
      <c r="D831" t="s">
        <v>365</v>
      </c>
      <c r="E831" s="77">
        <v>588800</v>
      </c>
      <c r="F831" s="77">
        <v>588800</v>
      </c>
      <c r="G831" s="79">
        <v>46197</v>
      </c>
      <c r="H831">
        <v>6</v>
      </c>
    </row>
    <row r="832" spans="1:8" x14ac:dyDescent="0.25">
      <c r="A832" s="76">
        <v>46198</v>
      </c>
      <c r="B832" s="78">
        <v>2511</v>
      </c>
      <c r="C832" s="78" t="s">
        <v>26</v>
      </c>
      <c r="D832" t="s">
        <v>171</v>
      </c>
      <c r="E832" s="77">
        <v>712300</v>
      </c>
      <c r="H832">
        <v>12</v>
      </c>
    </row>
    <row r="833" spans="1:8" hidden="1" x14ac:dyDescent="0.25">
      <c r="A833" s="76">
        <v>46198</v>
      </c>
      <c r="B833" s="78">
        <v>2825</v>
      </c>
      <c r="C833" s="78" t="s">
        <v>26</v>
      </c>
      <c r="D833" t="s">
        <v>322</v>
      </c>
      <c r="E833" s="77">
        <v>619100</v>
      </c>
      <c r="F833" s="77">
        <v>619100</v>
      </c>
      <c r="G833" s="79">
        <v>46174</v>
      </c>
      <c r="H833">
        <v>7</v>
      </c>
    </row>
    <row r="834" spans="1:8" x14ac:dyDescent="0.25">
      <c r="A834" s="76">
        <v>46198</v>
      </c>
      <c r="B834" s="78">
        <v>2828</v>
      </c>
      <c r="C834" s="78" t="s">
        <v>26</v>
      </c>
      <c r="D834" t="s">
        <v>309</v>
      </c>
      <c r="E834" s="77">
        <v>441300</v>
      </c>
      <c r="H834">
        <v>7</v>
      </c>
    </row>
    <row r="835" spans="1:8" hidden="1" x14ac:dyDescent="0.25">
      <c r="A835" s="76">
        <v>46198</v>
      </c>
      <c r="B835" s="78">
        <v>3151</v>
      </c>
      <c r="C835" s="78" t="s">
        <v>26</v>
      </c>
      <c r="D835" t="s">
        <v>444</v>
      </c>
      <c r="E835" s="77">
        <v>614700</v>
      </c>
      <c r="F835" s="77">
        <v>614700</v>
      </c>
      <c r="G835" s="79">
        <v>46200</v>
      </c>
      <c r="H835">
        <v>3</v>
      </c>
    </row>
    <row r="836" spans="1:8" hidden="1" x14ac:dyDescent="0.25">
      <c r="A836" s="76">
        <v>46198</v>
      </c>
      <c r="B836" s="78">
        <v>51</v>
      </c>
      <c r="C836" s="78" t="s">
        <v>26</v>
      </c>
      <c r="D836" t="s">
        <v>523</v>
      </c>
      <c r="E836" s="77">
        <v>242200</v>
      </c>
      <c r="F836" s="77">
        <v>242200</v>
      </c>
      <c r="G836" s="79">
        <v>46198</v>
      </c>
      <c r="H836">
        <v>2</v>
      </c>
    </row>
    <row r="837" spans="1:8" hidden="1" x14ac:dyDescent="0.25">
      <c r="A837" s="76">
        <v>46198</v>
      </c>
      <c r="B837" s="78">
        <v>122</v>
      </c>
      <c r="C837" s="78" t="s">
        <v>26</v>
      </c>
      <c r="D837" t="s">
        <v>547</v>
      </c>
      <c r="E837" s="77">
        <v>511200</v>
      </c>
      <c r="F837" s="77">
        <v>511200</v>
      </c>
      <c r="G837" s="79">
        <v>46192</v>
      </c>
      <c r="H837">
        <v>1</v>
      </c>
    </row>
    <row r="838" spans="1:8" hidden="1" x14ac:dyDescent="0.25">
      <c r="A838" s="76">
        <v>46198</v>
      </c>
      <c r="B838" s="78">
        <v>123</v>
      </c>
      <c r="C838" s="78" t="s">
        <v>26</v>
      </c>
      <c r="D838" t="s">
        <v>548</v>
      </c>
      <c r="E838" s="77">
        <v>407700</v>
      </c>
      <c r="F838" s="77">
        <v>407700</v>
      </c>
      <c r="G838" s="79">
        <v>46203</v>
      </c>
      <c r="H838">
        <v>1</v>
      </c>
    </row>
    <row r="839" spans="1:8" x14ac:dyDescent="0.25">
      <c r="A839" s="76">
        <v>46199</v>
      </c>
      <c r="B839" s="78">
        <v>2290</v>
      </c>
      <c r="C839" s="78" t="s">
        <v>26</v>
      </c>
      <c r="D839" t="s">
        <v>95</v>
      </c>
      <c r="E839" s="77">
        <v>629900</v>
      </c>
      <c r="H839">
        <v>15</v>
      </c>
    </row>
    <row r="840" spans="1:8" hidden="1" x14ac:dyDescent="0.25">
      <c r="A840" s="76">
        <v>46199</v>
      </c>
      <c r="B840" s="78">
        <v>2515</v>
      </c>
      <c r="C840" s="78" t="s">
        <v>26</v>
      </c>
      <c r="D840" t="s">
        <v>174</v>
      </c>
      <c r="E840" s="77">
        <v>804500</v>
      </c>
      <c r="F840" s="77">
        <v>804500</v>
      </c>
      <c r="G840" s="79">
        <v>46204</v>
      </c>
      <c r="H840">
        <v>12</v>
      </c>
    </row>
    <row r="841" spans="1:8" hidden="1" x14ac:dyDescent="0.25">
      <c r="A841" s="76">
        <v>46199</v>
      </c>
      <c r="B841" s="78">
        <v>2919</v>
      </c>
      <c r="C841" s="78" t="s">
        <v>26</v>
      </c>
      <c r="D841" t="s">
        <v>369</v>
      </c>
      <c r="E841" s="77">
        <v>440800</v>
      </c>
      <c r="F841" s="77">
        <v>440800</v>
      </c>
      <c r="G841" s="79">
        <v>46151</v>
      </c>
      <c r="H841">
        <v>6</v>
      </c>
    </row>
    <row r="842" spans="1:8" hidden="1" x14ac:dyDescent="0.25">
      <c r="A842" s="76">
        <v>46199</v>
      </c>
      <c r="B842" s="78">
        <v>2921</v>
      </c>
      <c r="C842" s="78" t="s">
        <v>26</v>
      </c>
      <c r="D842" t="s">
        <v>367</v>
      </c>
      <c r="E842" s="77">
        <v>1091100</v>
      </c>
      <c r="F842" s="77">
        <v>1091100</v>
      </c>
      <c r="G842" s="79">
        <v>46197</v>
      </c>
      <c r="H842">
        <v>6</v>
      </c>
    </row>
    <row r="843" spans="1:8" hidden="1" x14ac:dyDescent="0.25">
      <c r="A843" s="76">
        <v>46199</v>
      </c>
      <c r="B843" s="78">
        <v>3157</v>
      </c>
      <c r="C843" s="78" t="s">
        <v>26</v>
      </c>
      <c r="D843" t="s">
        <v>447</v>
      </c>
      <c r="E843" s="77">
        <v>407700</v>
      </c>
      <c r="F843" s="77">
        <v>407700</v>
      </c>
      <c r="G843" s="79">
        <v>46203</v>
      </c>
      <c r="H843">
        <v>3</v>
      </c>
    </row>
    <row r="844" spans="1:8" hidden="1" x14ac:dyDescent="0.25">
      <c r="A844" s="76">
        <v>46199</v>
      </c>
      <c r="B844" s="78">
        <v>125</v>
      </c>
      <c r="C844" s="78" t="s">
        <v>26</v>
      </c>
      <c r="D844" t="s">
        <v>549</v>
      </c>
      <c r="E844" s="77">
        <v>922100</v>
      </c>
      <c r="F844" s="77">
        <v>922100</v>
      </c>
      <c r="G844" s="79">
        <v>46195</v>
      </c>
      <c r="H844">
        <v>1</v>
      </c>
    </row>
    <row r="845" spans="1:8" hidden="1" x14ac:dyDescent="0.25">
      <c r="A845" s="76">
        <v>46199</v>
      </c>
      <c r="B845" s="78">
        <v>128</v>
      </c>
      <c r="C845" s="78" t="s">
        <v>26</v>
      </c>
      <c r="D845" t="s">
        <v>550</v>
      </c>
      <c r="E845" s="77">
        <v>792800</v>
      </c>
      <c r="F845" s="77">
        <v>792800</v>
      </c>
      <c r="G845" s="79">
        <v>46182</v>
      </c>
      <c r="H845">
        <v>1</v>
      </c>
    </row>
    <row r="846" spans="1:8" x14ac:dyDescent="0.25">
      <c r="A846" s="76">
        <v>46200</v>
      </c>
      <c r="B846" s="78">
        <v>2662</v>
      </c>
      <c r="C846" s="78" t="s">
        <v>26</v>
      </c>
      <c r="D846" t="s">
        <v>236</v>
      </c>
      <c r="E846" s="77">
        <v>869800</v>
      </c>
      <c r="H846">
        <v>10</v>
      </c>
    </row>
    <row r="847" spans="1:8" x14ac:dyDescent="0.25">
      <c r="A847" s="76">
        <v>46200</v>
      </c>
      <c r="B847" s="78">
        <v>2768</v>
      </c>
      <c r="C847" s="78" t="s">
        <v>26</v>
      </c>
      <c r="D847" t="s">
        <v>295</v>
      </c>
      <c r="E847" s="77">
        <v>537100</v>
      </c>
      <c r="H847">
        <v>8</v>
      </c>
    </row>
    <row r="848" spans="1:8" hidden="1" x14ac:dyDescent="0.25">
      <c r="A848" s="76">
        <v>46200</v>
      </c>
      <c r="B848" s="78">
        <v>3082</v>
      </c>
      <c r="C848" s="78" t="s">
        <v>26</v>
      </c>
      <c r="D848" t="s">
        <v>439</v>
      </c>
      <c r="E848" s="77">
        <v>672000</v>
      </c>
      <c r="F848" s="77">
        <v>672000</v>
      </c>
      <c r="G848" s="79">
        <v>46191</v>
      </c>
      <c r="H848">
        <v>4</v>
      </c>
    </row>
    <row r="849" spans="1:8" hidden="1" x14ac:dyDescent="0.25">
      <c r="A849" s="76">
        <v>46200</v>
      </c>
      <c r="B849" s="78">
        <v>133</v>
      </c>
      <c r="C849" s="78" t="s">
        <v>26</v>
      </c>
      <c r="D849" t="s">
        <v>551</v>
      </c>
      <c r="E849" s="77">
        <v>2383200</v>
      </c>
      <c r="F849" s="77">
        <v>2383200</v>
      </c>
      <c r="G849" s="79">
        <v>46200</v>
      </c>
      <c r="H849">
        <v>1</v>
      </c>
    </row>
    <row r="850" spans="1:8" hidden="1" x14ac:dyDescent="0.25">
      <c r="A850" s="76">
        <v>46201</v>
      </c>
      <c r="B850" s="78">
        <v>2517</v>
      </c>
      <c r="C850" s="78" t="s">
        <v>26</v>
      </c>
      <c r="D850" t="s">
        <v>176</v>
      </c>
      <c r="E850" s="77">
        <v>728700</v>
      </c>
      <c r="F850" s="77">
        <v>728700</v>
      </c>
      <c r="G850" s="79">
        <v>46204</v>
      </c>
      <c r="H850">
        <v>12</v>
      </c>
    </row>
    <row r="851" spans="1:8" hidden="1" x14ac:dyDescent="0.25">
      <c r="A851" s="76">
        <v>46202</v>
      </c>
      <c r="B851" s="78">
        <v>2588</v>
      </c>
      <c r="C851" s="78" t="s">
        <v>26</v>
      </c>
      <c r="D851" t="s">
        <v>201</v>
      </c>
      <c r="E851" s="77">
        <v>792000</v>
      </c>
      <c r="F851" s="77">
        <v>601464</v>
      </c>
      <c r="G851" s="79">
        <v>45976</v>
      </c>
      <c r="H851">
        <v>11</v>
      </c>
    </row>
    <row r="852" spans="1:8" hidden="1" x14ac:dyDescent="0.25">
      <c r="A852" s="76">
        <v>46202</v>
      </c>
      <c r="B852" s="78">
        <v>912</v>
      </c>
      <c r="C852" s="78" t="s">
        <v>240</v>
      </c>
      <c r="D852" t="s">
        <v>241</v>
      </c>
      <c r="E852" s="77">
        <v>605800</v>
      </c>
      <c r="F852" s="77">
        <v>460034</v>
      </c>
      <c r="G852" s="79">
        <v>45996</v>
      </c>
      <c r="H852">
        <v>11</v>
      </c>
    </row>
    <row r="853" spans="1:8" hidden="1" x14ac:dyDescent="0.25">
      <c r="A853" s="76">
        <v>46201</v>
      </c>
      <c r="B853" s="78">
        <v>2990</v>
      </c>
      <c r="C853" s="78" t="s">
        <v>26</v>
      </c>
      <c r="D853" t="s">
        <v>412</v>
      </c>
      <c r="E853" s="77">
        <v>1028500</v>
      </c>
      <c r="F853" s="77">
        <v>1028500</v>
      </c>
      <c r="G853" s="79">
        <v>46193</v>
      </c>
      <c r="H853">
        <v>5</v>
      </c>
    </row>
    <row r="854" spans="1:8" x14ac:dyDescent="0.25">
      <c r="A854" s="76">
        <v>46201</v>
      </c>
      <c r="B854" s="78">
        <v>3086</v>
      </c>
      <c r="C854" s="78" t="s">
        <v>26</v>
      </c>
      <c r="D854" t="s">
        <v>441</v>
      </c>
      <c r="E854" s="77">
        <v>407700</v>
      </c>
      <c r="H854">
        <v>4</v>
      </c>
    </row>
    <row r="855" spans="1:8" hidden="1" x14ac:dyDescent="0.25">
      <c r="A855" s="76">
        <v>46203</v>
      </c>
      <c r="B855" s="78">
        <v>2597</v>
      </c>
      <c r="C855" s="78" t="s">
        <v>26</v>
      </c>
      <c r="D855" t="s">
        <v>204</v>
      </c>
      <c r="E855" s="77">
        <v>578500</v>
      </c>
      <c r="F855" s="77">
        <v>578500</v>
      </c>
      <c r="G855" s="79">
        <v>46204</v>
      </c>
      <c r="H855">
        <v>11</v>
      </c>
    </row>
    <row r="856" spans="1:8" hidden="1" x14ac:dyDescent="0.25">
      <c r="A856" s="76">
        <v>38898</v>
      </c>
      <c r="B856" s="78">
        <v>2674</v>
      </c>
      <c r="C856" s="78" t="s">
        <v>26</v>
      </c>
      <c r="D856" t="s">
        <v>238</v>
      </c>
      <c r="E856" s="77">
        <v>1080900</v>
      </c>
      <c r="F856" s="77">
        <v>1096033</v>
      </c>
      <c r="G856" s="79">
        <v>46217</v>
      </c>
      <c r="H856">
        <v>10</v>
      </c>
    </row>
    <row r="857" spans="1:8" hidden="1" x14ac:dyDescent="0.25">
      <c r="A857" s="76">
        <v>46203</v>
      </c>
      <c r="B857" s="78">
        <v>2936</v>
      </c>
      <c r="C857" s="78" t="s">
        <v>26</v>
      </c>
      <c r="D857" t="s">
        <v>372</v>
      </c>
      <c r="E857" s="77">
        <v>488500</v>
      </c>
      <c r="F857" s="77">
        <v>488500</v>
      </c>
      <c r="G857" s="79">
        <v>46205</v>
      </c>
      <c r="H857">
        <v>6</v>
      </c>
    </row>
    <row r="858" spans="1:8" hidden="1" x14ac:dyDescent="0.25">
      <c r="A858" s="76">
        <v>46203</v>
      </c>
      <c r="B858" s="78">
        <v>2998</v>
      </c>
      <c r="C858" s="78" t="s">
        <v>26</v>
      </c>
      <c r="D858" t="s">
        <v>426</v>
      </c>
      <c r="E858" s="77">
        <v>1034400</v>
      </c>
      <c r="F858" s="77">
        <v>1034400</v>
      </c>
      <c r="G858" s="79">
        <v>46209</v>
      </c>
      <c r="H858">
        <v>5</v>
      </c>
    </row>
    <row r="859" spans="1:8" x14ac:dyDescent="0.25">
      <c r="A859" s="76">
        <v>46203</v>
      </c>
      <c r="B859" s="78">
        <v>3007</v>
      </c>
      <c r="C859" s="78" t="s">
        <v>26</v>
      </c>
      <c r="D859" t="s">
        <v>428</v>
      </c>
      <c r="E859" s="77">
        <v>861400</v>
      </c>
      <c r="H859">
        <v>5</v>
      </c>
    </row>
    <row r="860" spans="1:8" x14ac:dyDescent="0.25">
      <c r="A860" s="76">
        <v>46203</v>
      </c>
      <c r="B860" s="78">
        <v>3008</v>
      </c>
      <c r="C860" s="78" t="s">
        <v>26</v>
      </c>
      <c r="D860" t="s">
        <v>430</v>
      </c>
      <c r="E860" s="77">
        <v>813500</v>
      </c>
      <c r="H860">
        <v>5</v>
      </c>
    </row>
    <row r="861" spans="1:8" x14ac:dyDescent="0.25">
      <c r="A861" s="76">
        <v>46203</v>
      </c>
      <c r="B861" s="78">
        <v>3168</v>
      </c>
      <c r="C861" s="78" t="s">
        <v>26</v>
      </c>
      <c r="D861" t="s">
        <v>449</v>
      </c>
      <c r="E861" s="77">
        <v>659900</v>
      </c>
      <c r="H861">
        <v>3</v>
      </c>
    </row>
    <row r="862" spans="1:8" hidden="1" x14ac:dyDescent="0.25">
      <c r="A862" s="76">
        <v>46203</v>
      </c>
      <c r="B862" s="78">
        <v>3172</v>
      </c>
      <c r="C862" s="78" t="s">
        <v>26</v>
      </c>
      <c r="D862" t="s">
        <v>451</v>
      </c>
      <c r="E862" s="77">
        <v>645700</v>
      </c>
      <c r="F862" s="77">
        <v>645700</v>
      </c>
      <c r="G862" s="79">
        <v>46207</v>
      </c>
      <c r="H862">
        <v>3</v>
      </c>
    </row>
    <row r="863" spans="1:8" hidden="1" x14ac:dyDescent="0.25">
      <c r="A863" s="76">
        <v>46203</v>
      </c>
      <c r="B863" s="78">
        <v>3173</v>
      </c>
      <c r="C863" s="78" t="s">
        <v>26</v>
      </c>
      <c r="D863" t="s">
        <v>453</v>
      </c>
      <c r="E863" s="77">
        <v>1971000</v>
      </c>
      <c r="F863" s="77">
        <v>1971000</v>
      </c>
      <c r="G863" s="79">
        <v>46204</v>
      </c>
      <c r="H863">
        <v>3</v>
      </c>
    </row>
    <row r="864" spans="1:8" hidden="1" x14ac:dyDescent="0.25">
      <c r="A864" s="76">
        <v>46203</v>
      </c>
      <c r="B864" s="78">
        <v>3175</v>
      </c>
      <c r="C864" s="78" t="s">
        <v>26</v>
      </c>
      <c r="D864" t="s">
        <v>455</v>
      </c>
      <c r="E864" s="77">
        <v>1617200</v>
      </c>
      <c r="F864" s="77">
        <v>1617200</v>
      </c>
      <c r="G864" s="79">
        <v>46204</v>
      </c>
      <c r="H864">
        <v>3</v>
      </c>
    </row>
    <row r="865" spans="1:8" hidden="1" x14ac:dyDescent="0.25">
      <c r="A865" s="76">
        <v>46203</v>
      </c>
      <c r="B865" s="78">
        <v>62</v>
      </c>
      <c r="C865" s="78" t="s">
        <v>26</v>
      </c>
      <c r="D865" t="s">
        <v>526</v>
      </c>
      <c r="E865" s="77">
        <v>1107200</v>
      </c>
      <c r="F865" s="77">
        <v>1107200</v>
      </c>
      <c r="G865" s="79">
        <v>46204</v>
      </c>
      <c r="H865">
        <v>2</v>
      </c>
    </row>
    <row r="866" spans="1:8" hidden="1" x14ac:dyDescent="0.25">
      <c r="A866" s="76">
        <v>46203</v>
      </c>
      <c r="B866" s="78">
        <v>65</v>
      </c>
      <c r="C866" s="78" t="s">
        <v>26</v>
      </c>
      <c r="D866" t="s">
        <v>527</v>
      </c>
      <c r="E866" s="77">
        <v>353500</v>
      </c>
      <c r="F866" s="77">
        <v>353500</v>
      </c>
      <c r="G866" s="79">
        <v>46205</v>
      </c>
      <c r="H866">
        <v>2</v>
      </c>
    </row>
    <row r="867" spans="1:8" hidden="1" x14ac:dyDescent="0.25">
      <c r="A867" s="76">
        <v>46203</v>
      </c>
      <c r="B867" s="78">
        <v>143</v>
      </c>
      <c r="C867" s="78" t="s">
        <v>26</v>
      </c>
      <c r="D867" t="s">
        <v>552</v>
      </c>
      <c r="E867" s="77">
        <v>429700</v>
      </c>
      <c r="F867" s="77">
        <v>429700</v>
      </c>
      <c r="G867" s="79">
        <v>46196</v>
      </c>
      <c r="H867">
        <v>1</v>
      </c>
    </row>
    <row r="868" spans="1:8" hidden="1" x14ac:dyDescent="0.25">
      <c r="A868" s="76">
        <v>46204</v>
      </c>
      <c r="B868" s="78">
        <v>2311</v>
      </c>
      <c r="C868" s="78" t="s">
        <v>26</v>
      </c>
      <c r="D868" t="s">
        <v>93</v>
      </c>
      <c r="E868" s="77">
        <v>418100</v>
      </c>
      <c r="F868" s="77">
        <v>418100</v>
      </c>
      <c r="G868" s="79">
        <v>46207</v>
      </c>
      <c r="H868">
        <v>15</v>
      </c>
    </row>
    <row r="869" spans="1:8" hidden="1" x14ac:dyDescent="0.25">
      <c r="A869" s="76">
        <v>46204</v>
      </c>
      <c r="B869" s="78">
        <v>2677</v>
      </c>
      <c r="C869" s="78" t="s">
        <v>26</v>
      </c>
      <c r="D869" t="s">
        <v>255</v>
      </c>
      <c r="E869" s="77">
        <v>1033600</v>
      </c>
      <c r="F869" s="77">
        <v>1033600</v>
      </c>
      <c r="G869" s="79">
        <v>46209</v>
      </c>
      <c r="H869">
        <v>10</v>
      </c>
    </row>
    <row r="870" spans="1:8" x14ac:dyDescent="0.25">
      <c r="A870" s="76">
        <v>46205</v>
      </c>
      <c r="B870" s="78">
        <v>154</v>
      </c>
      <c r="C870" s="78" t="s">
        <v>26</v>
      </c>
      <c r="D870" t="s">
        <v>553</v>
      </c>
      <c r="E870" s="77">
        <v>379100</v>
      </c>
      <c r="H870">
        <v>1</v>
      </c>
    </row>
    <row r="871" spans="1:8" hidden="1" x14ac:dyDescent="0.25">
      <c r="A871" s="76">
        <v>46206</v>
      </c>
      <c r="B871" s="78">
        <v>2520</v>
      </c>
      <c r="C871" s="78" t="s">
        <v>26</v>
      </c>
      <c r="D871" t="s">
        <v>196</v>
      </c>
      <c r="E871" s="77">
        <v>481700</v>
      </c>
      <c r="F871" s="77">
        <v>481700</v>
      </c>
      <c r="G871" s="79">
        <v>46206</v>
      </c>
      <c r="H871">
        <v>12</v>
      </c>
    </row>
    <row r="872" spans="1:8" hidden="1" x14ac:dyDescent="0.25">
      <c r="A872" s="76">
        <v>46206</v>
      </c>
      <c r="B872" s="78">
        <v>2847</v>
      </c>
      <c r="C872" s="78" t="s">
        <v>26</v>
      </c>
      <c r="D872" t="s">
        <v>330</v>
      </c>
      <c r="E872" s="77">
        <v>419300</v>
      </c>
      <c r="F872" s="77">
        <v>419300</v>
      </c>
      <c r="G872" s="79">
        <v>46205</v>
      </c>
      <c r="H872">
        <v>7</v>
      </c>
    </row>
    <row r="873" spans="1:8" hidden="1" x14ac:dyDescent="0.25">
      <c r="A873" s="76">
        <v>46207</v>
      </c>
      <c r="B873" s="78">
        <v>2849</v>
      </c>
      <c r="C873" s="78" t="s">
        <v>26</v>
      </c>
      <c r="D873" t="s">
        <v>334</v>
      </c>
      <c r="E873" s="77">
        <v>365300</v>
      </c>
      <c r="F873" s="77">
        <v>365300</v>
      </c>
      <c r="G873" s="79">
        <v>46206</v>
      </c>
      <c r="H873">
        <v>7</v>
      </c>
    </row>
    <row r="874" spans="1:8" hidden="1" x14ac:dyDescent="0.25">
      <c r="A874" s="76">
        <v>46207</v>
      </c>
      <c r="B874" s="78">
        <v>2850</v>
      </c>
      <c r="C874" s="78" t="s">
        <v>26</v>
      </c>
      <c r="D874" t="s">
        <v>332</v>
      </c>
      <c r="E874" s="77">
        <v>615100</v>
      </c>
      <c r="F874" s="77">
        <v>621251</v>
      </c>
      <c r="G874" s="79">
        <v>46217</v>
      </c>
      <c r="H874">
        <v>7</v>
      </c>
    </row>
    <row r="875" spans="1:8" hidden="1" x14ac:dyDescent="0.25">
      <c r="A875" s="76">
        <v>46207</v>
      </c>
      <c r="B875" s="78">
        <v>2</v>
      </c>
      <c r="C875" s="78" t="s">
        <v>26</v>
      </c>
      <c r="D875" t="s">
        <v>457</v>
      </c>
      <c r="E875" s="77">
        <v>614700</v>
      </c>
      <c r="F875" s="77">
        <v>614700</v>
      </c>
      <c r="G875" s="79">
        <v>46210</v>
      </c>
      <c r="H875">
        <v>3</v>
      </c>
    </row>
    <row r="876" spans="1:8" hidden="1" x14ac:dyDescent="0.25">
      <c r="A876" s="76">
        <v>46208</v>
      </c>
      <c r="B876" s="78">
        <v>3099</v>
      </c>
      <c r="C876" s="78" t="s">
        <v>26</v>
      </c>
      <c r="D876" t="s">
        <v>443</v>
      </c>
      <c r="E876" s="77">
        <v>614700</v>
      </c>
      <c r="F876" s="77">
        <v>614700</v>
      </c>
      <c r="G876" s="79">
        <v>46203</v>
      </c>
      <c r="H876">
        <v>4</v>
      </c>
    </row>
    <row r="877" spans="1:8" hidden="1" x14ac:dyDescent="0.25">
      <c r="A877" s="76">
        <v>46208</v>
      </c>
      <c r="B877" s="78">
        <v>72</v>
      </c>
      <c r="C877" s="78" t="s">
        <v>26</v>
      </c>
      <c r="D877" t="s">
        <v>529</v>
      </c>
      <c r="E877" s="77">
        <v>450400</v>
      </c>
      <c r="F877" s="77">
        <v>450400</v>
      </c>
      <c r="G877" s="79">
        <v>46211</v>
      </c>
      <c r="H877">
        <v>2</v>
      </c>
    </row>
    <row r="878" spans="1:8" hidden="1" x14ac:dyDescent="0.25">
      <c r="A878" s="76">
        <v>46208</v>
      </c>
      <c r="B878" s="78">
        <v>73</v>
      </c>
      <c r="C878" s="78" t="s">
        <v>26</v>
      </c>
      <c r="D878" t="s">
        <v>530</v>
      </c>
      <c r="E878" s="77">
        <v>468900</v>
      </c>
      <c r="F878" s="77">
        <v>468900</v>
      </c>
      <c r="G878" s="79">
        <v>46207</v>
      </c>
      <c r="H878">
        <v>2</v>
      </c>
    </row>
    <row r="879" spans="1:8" hidden="1" x14ac:dyDescent="0.25">
      <c r="A879" s="76">
        <v>46209</v>
      </c>
      <c r="B879" s="78">
        <v>2858</v>
      </c>
      <c r="C879" s="78" t="s">
        <v>26</v>
      </c>
      <c r="D879" t="s">
        <v>336</v>
      </c>
      <c r="E879" s="77">
        <v>779300</v>
      </c>
      <c r="F879" s="77">
        <v>779300</v>
      </c>
      <c r="G879" s="79">
        <v>46206</v>
      </c>
      <c r="H879">
        <v>7</v>
      </c>
    </row>
    <row r="880" spans="1:8" hidden="1" x14ac:dyDescent="0.25">
      <c r="A880" s="76">
        <v>46209</v>
      </c>
      <c r="B880" s="78">
        <v>2948</v>
      </c>
      <c r="C880" s="78" t="s">
        <v>26</v>
      </c>
      <c r="D880" t="s">
        <v>379</v>
      </c>
      <c r="E880" s="77">
        <v>298000</v>
      </c>
      <c r="F880" s="77">
        <v>298000</v>
      </c>
      <c r="G880" s="79">
        <v>46213</v>
      </c>
      <c r="H880">
        <v>6</v>
      </c>
    </row>
    <row r="881" spans="1:8" hidden="1" x14ac:dyDescent="0.25">
      <c r="A881" s="76">
        <v>46209</v>
      </c>
      <c r="B881" s="78">
        <v>5</v>
      </c>
      <c r="C881" s="78" t="s">
        <v>26</v>
      </c>
      <c r="D881" t="s">
        <v>461</v>
      </c>
      <c r="E881" s="77">
        <v>714200</v>
      </c>
      <c r="F881" s="77">
        <v>714200</v>
      </c>
      <c r="G881" s="79">
        <v>46211</v>
      </c>
      <c r="H881">
        <v>3</v>
      </c>
    </row>
    <row r="882" spans="1:8" hidden="1" x14ac:dyDescent="0.25">
      <c r="A882" s="76">
        <v>46209</v>
      </c>
      <c r="B882" s="78">
        <v>157</v>
      </c>
      <c r="C882" s="78" t="s">
        <v>26</v>
      </c>
      <c r="D882" t="s">
        <v>569</v>
      </c>
      <c r="E882" s="77">
        <v>1850200</v>
      </c>
      <c r="F882" s="77">
        <v>1850200</v>
      </c>
      <c r="G882" s="79">
        <v>46212</v>
      </c>
      <c r="H882">
        <v>1</v>
      </c>
    </row>
    <row r="883" spans="1:8" hidden="1" x14ac:dyDescent="0.25">
      <c r="A883" s="76">
        <v>46210</v>
      </c>
      <c r="B883" s="78">
        <v>78</v>
      </c>
      <c r="C883" s="78" t="s">
        <v>26</v>
      </c>
      <c r="D883" t="s">
        <v>531</v>
      </c>
      <c r="E883" s="77">
        <v>614700</v>
      </c>
      <c r="F883" s="149">
        <v>614700</v>
      </c>
      <c r="G883" s="79">
        <v>46210</v>
      </c>
      <c r="H883">
        <v>2</v>
      </c>
    </row>
    <row r="884" spans="1:8" hidden="1" x14ac:dyDescent="0.25">
      <c r="A884" s="76">
        <v>46211</v>
      </c>
      <c r="B884" s="78">
        <v>2860</v>
      </c>
      <c r="C884" s="78" t="s">
        <v>26</v>
      </c>
      <c r="D884" t="s">
        <v>338</v>
      </c>
      <c r="E884" s="77">
        <v>1218500</v>
      </c>
      <c r="F884" s="77">
        <v>991270</v>
      </c>
      <c r="G884" s="79">
        <v>46191</v>
      </c>
      <c r="H884">
        <v>7</v>
      </c>
    </row>
    <row r="885" spans="1:8" hidden="1" x14ac:dyDescent="0.25">
      <c r="A885" s="76">
        <v>46211</v>
      </c>
      <c r="B885" s="78">
        <v>80</v>
      </c>
      <c r="C885" s="78" t="s">
        <v>26</v>
      </c>
      <c r="D885" t="s">
        <v>532</v>
      </c>
      <c r="E885" s="77">
        <v>134100</v>
      </c>
      <c r="F885" s="77">
        <v>134100</v>
      </c>
      <c r="G885" s="79">
        <v>46212</v>
      </c>
      <c r="H885">
        <v>2</v>
      </c>
    </row>
    <row r="886" spans="1:8" x14ac:dyDescent="0.25">
      <c r="A886" s="76">
        <v>46212</v>
      </c>
      <c r="B886" s="78">
        <v>2620</v>
      </c>
      <c r="C886" s="78" t="s">
        <v>26</v>
      </c>
      <c r="D886" t="s">
        <v>232</v>
      </c>
      <c r="E886" s="77">
        <v>780600</v>
      </c>
      <c r="H886">
        <v>11</v>
      </c>
    </row>
    <row r="887" spans="1:8" x14ac:dyDescent="0.25">
      <c r="A887" s="76">
        <v>46212</v>
      </c>
      <c r="B887" s="78">
        <v>883</v>
      </c>
      <c r="C887" s="78" t="s">
        <v>240</v>
      </c>
      <c r="D887" t="s">
        <v>243</v>
      </c>
      <c r="E887" s="77">
        <v>287300</v>
      </c>
      <c r="H887">
        <v>12</v>
      </c>
    </row>
    <row r="888" spans="1:8" hidden="1" x14ac:dyDescent="0.25">
      <c r="A888" s="76">
        <v>46212</v>
      </c>
      <c r="B888" s="78">
        <v>2861</v>
      </c>
      <c r="C888" s="78" t="s">
        <v>26</v>
      </c>
      <c r="D888" t="s">
        <v>340</v>
      </c>
      <c r="E888" s="77">
        <v>308200</v>
      </c>
      <c r="F888" s="77">
        <v>308200</v>
      </c>
      <c r="G888" s="79">
        <v>46214</v>
      </c>
      <c r="H888">
        <v>7</v>
      </c>
    </row>
    <row r="889" spans="1:8" hidden="1" x14ac:dyDescent="0.25">
      <c r="A889" s="76">
        <v>46213</v>
      </c>
      <c r="B889" s="78">
        <v>2399</v>
      </c>
      <c r="C889" s="78" t="s">
        <v>26</v>
      </c>
      <c r="D889" t="s">
        <v>121</v>
      </c>
      <c r="E889" s="77">
        <v>564700</v>
      </c>
      <c r="F889" s="77">
        <v>564700</v>
      </c>
      <c r="G889" s="79">
        <v>46063</v>
      </c>
      <c r="H889">
        <v>14</v>
      </c>
    </row>
    <row r="890" spans="1:8" hidden="1" x14ac:dyDescent="0.25">
      <c r="A890" s="76">
        <v>46213</v>
      </c>
      <c r="B890" s="78">
        <v>3114</v>
      </c>
      <c r="C890" s="78" t="s">
        <v>26</v>
      </c>
      <c r="D890" t="s">
        <v>459</v>
      </c>
      <c r="E890" s="77">
        <v>1072700</v>
      </c>
      <c r="F890" s="77">
        <v>1072700</v>
      </c>
      <c r="G890" s="79">
        <v>46204</v>
      </c>
      <c r="H890">
        <v>4</v>
      </c>
    </row>
    <row r="891" spans="1:8" ht="15" hidden="1" customHeight="1" x14ac:dyDescent="0.25">
      <c r="A891" s="76">
        <v>46214</v>
      </c>
      <c r="B891" s="78">
        <v>86</v>
      </c>
      <c r="C891" s="78" t="s">
        <v>26</v>
      </c>
      <c r="D891" t="s">
        <v>534</v>
      </c>
      <c r="E891" s="77">
        <v>1021400</v>
      </c>
      <c r="F891" s="77">
        <v>1021400</v>
      </c>
      <c r="G891" s="79">
        <v>46214</v>
      </c>
      <c r="H891">
        <v>2</v>
      </c>
    </row>
    <row r="892" spans="1:8" x14ac:dyDescent="0.25">
      <c r="A892" s="76">
        <v>46217</v>
      </c>
      <c r="B892" s="78">
        <v>2405</v>
      </c>
      <c r="C892" s="78" t="s">
        <v>26</v>
      </c>
      <c r="D892" t="s">
        <v>129</v>
      </c>
      <c r="E892" s="77">
        <v>418100</v>
      </c>
      <c r="H892">
        <v>14</v>
      </c>
    </row>
    <row r="893" spans="1:8" x14ac:dyDescent="0.25">
      <c r="A893" s="76">
        <v>46219</v>
      </c>
      <c r="B893" s="78">
        <v>2878</v>
      </c>
      <c r="C893" s="78" t="s">
        <v>26</v>
      </c>
      <c r="D893" t="s">
        <v>361</v>
      </c>
      <c r="E893" s="77">
        <v>965900</v>
      </c>
      <c r="H893">
        <v>7</v>
      </c>
    </row>
    <row r="894" spans="1:8" x14ac:dyDescent="0.25">
      <c r="A894" s="76">
        <v>46220</v>
      </c>
      <c r="B894" s="78">
        <v>2566</v>
      </c>
      <c r="C894" s="78" t="s">
        <v>26</v>
      </c>
      <c r="D894" t="s">
        <v>200</v>
      </c>
      <c r="E894" s="77">
        <v>790200</v>
      </c>
      <c r="H894">
        <v>12</v>
      </c>
    </row>
    <row r="895" spans="1:8" hidden="1" x14ac:dyDescent="0.25">
      <c r="A895" s="76">
        <v>46220</v>
      </c>
      <c r="B895" s="78">
        <v>2967</v>
      </c>
      <c r="C895" s="78" t="s">
        <v>26</v>
      </c>
      <c r="D895" t="s">
        <v>396</v>
      </c>
      <c r="E895" s="77">
        <v>989800</v>
      </c>
      <c r="F895" s="77">
        <v>989800</v>
      </c>
      <c r="G895" s="79">
        <v>46214</v>
      </c>
      <c r="H895">
        <v>6</v>
      </c>
    </row>
    <row r="896" spans="1:8" x14ac:dyDescent="0.25">
      <c r="A896" s="76">
        <v>46220</v>
      </c>
      <c r="B896" s="78">
        <v>2968</v>
      </c>
      <c r="C896" s="78" t="s">
        <v>26</v>
      </c>
      <c r="D896" t="s">
        <v>398</v>
      </c>
      <c r="E896" s="77">
        <v>452200</v>
      </c>
      <c r="H896">
        <v>6</v>
      </c>
    </row>
    <row r="897" spans="1:8" x14ac:dyDescent="0.25">
      <c r="A897" s="76">
        <v>46221</v>
      </c>
      <c r="B897" s="78">
        <v>2493</v>
      </c>
      <c r="C897" s="78" t="s">
        <v>26</v>
      </c>
      <c r="D897" t="s">
        <v>166</v>
      </c>
      <c r="E897" s="77">
        <v>328300</v>
      </c>
      <c r="H897">
        <v>13</v>
      </c>
    </row>
    <row r="898" spans="1:8" x14ac:dyDescent="0.25">
      <c r="A898" s="76">
        <v>46221</v>
      </c>
      <c r="B898" s="78">
        <v>3060</v>
      </c>
      <c r="C898" s="78" t="s">
        <v>26</v>
      </c>
      <c r="D898" t="s">
        <v>432</v>
      </c>
      <c r="E898" s="77">
        <v>623600</v>
      </c>
      <c r="H898">
        <v>5</v>
      </c>
    </row>
    <row r="899" spans="1:8" x14ac:dyDescent="0.25">
      <c r="A899" s="76">
        <v>46221</v>
      </c>
      <c r="B899" s="78">
        <v>31</v>
      </c>
      <c r="C899" s="78" t="s">
        <v>26</v>
      </c>
      <c r="D899" t="s">
        <v>501</v>
      </c>
      <c r="E899" s="77">
        <v>581500</v>
      </c>
      <c r="H899">
        <v>3</v>
      </c>
    </row>
    <row r="900" spans="1:8" x14ac:dyDescent="0.25">
      <c r="A900" s="76">
        <v>46221</v>
      </c>
      <c r="B900" s="78">
        <v>32</v>
      </c>
      <c r="C900" s="78" t="s">
        <v>26</v>
      </c>
      <c r="D900" t="s">
        <v>503</v>
      </c>
      <c r="E900" s="77">
        <v>252500</v>
      </c>
      <c r="H900">
        <v>3</v>
      </c>
    </row>
    <row r="901" spans="1:8" x14ac:dyDescent="0.25">
      <c r="A901" s="76">
        <v>46222</v>
      </c>
      <c r="B901" s="78">
        <v>2494</v>
      </c>
      <c r="C901" s="78" t="s">
        <v>26</v>
      </c>
      <c r="D901" t="s">
        <v>168</v>
      </c>
      <c r="E901" s="77">
        <v>425600</v>
      </c>
      <c r="H901">
        <v>13</v>
      </c>
    </row>
    <row r="902" spans="1:8" x14ac:dyDescent="0.25">
      <c r="A902" s="76">
        <v>46222</v>
      </c>
      <c r="B902" s="78">
        <v>2637</v>
      </c>
      <c r="C902" s="78" t="s">
        <v>26</v>
      </c>
      <c r="D902" t="s">
        <v>221</v>
      </c>
      <c r="E902" s="77">
        <v>663300</v>
      </c>
      <c r="H902">
        <v>11</v>
      </c>
    </row>
    <row r="903" spans="1:8" x14ac:dyDescent="0.25">
      <c r="A903" s="76">
        <v>46222</v>
      </c>
      <c r="B903" s="78">
        <v>2810</v>
      </c>
      <c r="C903" s="78" t="s">
        <v>26</v>
      </c>
      <c r="D903" t="s">
        <v>318</v>
      </c>
      <c r="E903" s="77">
        <v>557500</v>
      </c>
      <c r="H903">
        <v>8</v>
      </c>
    </row>
    <row r="904" spans="1:8" x14ac:dyDescent="0.25">
      <c r="A904" s="76">
        <v>46222</v>
      </c>
      <c r="B904" s="78">
        <v>1110</v>
      </c>
      <c r="C904" s="78" t="s">
        <v>240</v>
      </c>
      <c r="D904" t="s">
        <v>419</v>
      </c>
      <c r="E904" s="77">
        <v>751300</v>
      </c>
      <c r="H904">
        <v>6</v>
      </c>
    </row>
    <row r="905" spans="1:8" x14ac:dyDescent="0.25">
      <c r="A905" s="76">
        <v>46222</v>
      </c>
      <c r="B905" s="78">
        <v>3062</v>
      </c>
      <c r="C905" s="78" t="s">
        <v>26</v>
      </c>
      <c r="D905" t="s">
        <v>435</v>
      </c>
      <c r="E905" s="77">
        <v>452200</v>
      </c>
      <c r="H905">
        <v>5</v>
      </c>
    </row>
    <row r="906" spans="1:8" hidden="1" x14ac:dyDescent="0.25">
      <c r="A906" s="76">
        <v>46223</v>
      </c>
      <c r="B906" s="78">
        <v>2498</v>
      </c>
      <c r="C906" s="78" t="s">
        <v>26</v>
      </c>
      <c r="D906" t="s">
        <v>153</v>
      </c>
      <c r="E906" s="77">
        <v>904200</v>
      </c>
      <c r="F906" s="77">
        <v>735560</v>
      </c>
      <c r="G906" s="79">
        <v>46112</v>
      </c>
      <c r="H906">
        <v>13</v>
      </c>
    </row>
    <row r="907" spans="1:8" x14ac:dyDescent="0.25">
      <c r="A907" s="76">
        <v>46223</v>
      </c>
      <c r="B907" s="78">
        <v>2640</v>
      </c>
      <c r="C907" s="78" t="s">
        <v>26</v>
      </c>
      <c r="D907" t="s">
        <v>234</v>
      </c>
      <c r="E907" s="77">
        <v>789900</v>
      </c>
      <c r="H907">
        <v>11</v>
      </c>
    </row>
    <row r="908" spans="1:8" x14ac:dyDescent="0.25">
      <c r="A908" s="76">
        <v>46223</v>
      </c>
      <c r="B908" s="78">
        <v>2973</v>
      </c>
      <c r="C908" s="78" t="s">
        <v>26</v>
      </c>
      <c r="D908" t="s">
        <v>400</v>
      </c>
      <c r="E908" s="77">
        <v>696400</v>
      </c>
      <c r="H908">
        <v>6</v>
      </c>
    </row>
    <row r="909" spans="1:8" x14ac:dyDescent="0.25">
      <c r="A909" s="76">
        <v>46223</v>
      </c>
      <c r="B909" s="78">
        <v>1111</v>
      </c>
      <c r="C909" s="78" t="s">
        <v>240</v>
      </c>
      <c r="D909" t="s">
        <v>422</v>
      </c>
      <c r="E909" s="77">
        <v>1360600</v>
      </c>
      <c r="H909">
        <v>6</v>
      </c>
    </row>
    <row r="910" spans="1:8" x14ac:dyDescent="0.25">
      <c r="A910" s="76">
        <v>46223</v>
      </c>
      <c r="B910" s="78">
        <v>3068</v>
      </c>
      <c r="C910" s="78" t="s">
        <v>26</v>
      </c>
      <c r="D910" t="s">
        <v>437</v>
      </c>
      <c r="E910" s="77">
        <v>450400</v>
      </c>
      <c r="H910">
        <v>5</v>
      </c>
    </row>
    <row r="911" spans="1:8" x14ac:dyDescent="0.25">
      <c r="A911" s="76">
        <v>46224</v>
      </c>
      <c r="B911" s="78">
        <v>2344</v>
      </c>
      <c r="C911" s="78" t="s">
        <v>26</v>
      </c>
      <c r="D911" t="s">
        <v>109</v>
      </c>
      <c r="E911" s="77">
        <v>317700</v>
      </c>
      <c r="H911">
        <v>15</v>
      </c>
    </row>
    <row r="912" spans="1:8" x14ac:dyDescent="0.25">
      <c r="A912" s="76">
        <v>46224</v>
      </c>
      <c r="B912" s="78">
        <v>2500</v>
      </c>
      <c r="C912" s="78" t="s">
        <v>26</v>
      </c>
      <c r="D912" t="s">
        <v>155</v>
      </c>
      <c r="E912" s="77">
        <v>600000</v>
      </c>
      <c r="H912">
        <v>13</v>
      </c>
    </row>
    <row r="913" spans="1:8" hidden="1" x14ac:dyDescent="0.25">
      <c r="A913" s="76">
        <v>46224</v>
      </c>
      <c r="B913" s="78">
        <v>2501</v>
      </c>
      <c r="C913" s="78" t="s">
        <v>26</v>
      </c>
      <c r="D913" t="s">
        <v>157</v>
      </c>
      <c r="E913" s="77">
        <v>325300</v>
      </c>
      <c r="F913" s="77">
        <v>264595</v>
      </c>
      <c r="G913" s="79">
        <v>46112</v>
      </c>
      <c r="H913">
        <v>13</v>
      </c>
    </row>
    <row r="914" spans="1:8" x14ac:dyDescent="0.25">
      <c r="A914" s="76">
        <v>46224</v>
      </c>
      <c r="B914" s="78">
        <v>1112</v>
      </c>
      <c r="C914" s="78" t="s">
        <v>240</v>
      </c>
      <c r="D914" t="s">
        <v>467</v>
      </c>
      <c r="E914" s="77">
        <v>649000</v>
      </c>
      <c r="H914">
        <v>6</v>
      </c>
    </row>
    <row r="915" spans="1:8" x14ac:dyDescent="0.25">
      <c r="A915" s="76">
        <v>46225</v>
      </c>
      <c r="B915" s="78">
        <v>2346</v>
      </c>
      <c r="C915" s="78" t="s">
        <v>26</v>
      </c>
      <c r="D915" t="s">
        <v>111</v>
      </c>
      <c r="E915" s="77">
        <v>656200</v>
      </c>
      <c r="H915">
        <v>15</v>
      </c>
    </row>
    <row r="916" spans="1:8" hidden="1" x14ac:dyDescent="0.25">
      <c r="A916" s="76">
        <v>46226</v>
      </c>
      <c r="B916" s="78">
        <v>2348</v>
      </c>
      <c r="C916" s="78" t="s">
        <v>26</v>
      </c>
      <c r="D916" t="s">
        <v>113</v>
      </c>
      <c r="E916" s="77">
        <v>393500</v>
      </c>
      <c r="F916" s="77">
        <v>342903</v>
      </c>
      <c r="G916" s="79">
        <v>45891</v>
      </c>
      <c r="H916">
        <v>15</v>
      </c>
    </row>
    <row r="917" spans="1:8" x14ac:dyDescent="0.25">
      <c r="A917" s="76">
        <v>46225</v>
      </c>
      <c r="B917" s="78">
        <v>117</v>
      </c>
      <c r="C917" s="78" t="s">
        <v>26</v>
      </c>
      <c r="D917" t="s">
        <v>545</v>
      </c>
      <c r="E917" s="77">
        <v>1030700</v>
      </c>
      <c r="H917">
        <v>2</v>
      </c>
    </row>
    <row r="918" spans="1:8" x14ac:dyDescent="0.25">
      <c r="A918" s="76">
        <v>46226</v>
      </c>
      <c r="B918" s="78">
        <v>45</v>
      </c>
      <c r="C918" s="78" t="s">
        <v>26</v>
      </c>
      <c r="D918" t="s">
        <v>519</v>
      </c>
      <c r="E918" s="77">
        <v>658800</v>
      </c>
      <c r="H918">
        <v>3</v>
      </c>
    </row>
    <row r="919" spans="1:8" x14ac:dyDescent="0.25">
      <c r="A919" s="76">
        <v>46226</v>
      </c>
      <c r="B919" s="78">
        <v>47</v>
      </c>
      <c r="C919" s="78" t="s">
        <v>26</v>
      </c>
      <c r="D919" t="s">
        <v>522</v>
      </c>
      <c r="E919" s="77">
        <v>304200</v>
      </c>
      <c r="H919">
        <v>3</v>
      </c>
    </row>
    <row r="920" spans="1:8" x14ac:dyDescent="0.25">
      <c r="A920" s="76">
        <v>46226</v>
      </c>
      <c r="B920" s="78">
        <v>119</v>
      </c>
      <c r="C920" s="78" t="s">
        <v>26</v>
      </c>
      <c r="D920" t="s">
        <v>546</v>
      </c>
      <c r="E920" s="77">
        <v>803800</v>
      </c>
      <c r="H920">
        <v>2</v>
      </c>
    </row>
    <row r="921" spans="1:8" x14ac:dyDescent="0.25">
      <c r="A921" s="76">
        <v>46227</v>
      </c>
      <c r="B921" s="78">
        <v>2431</v>
      </c>
      <c r="C921" s="78" t="s">
        <v>26</v>
      </c>
      <c r="D921" t="s">
        <v>149</v>
      </c>
      <c r="E921" s="77">
        <v>313900</v>
      </c>
      <c r="H921">
        <v>14</v>
      </c>
    </row>
    <row r="922" spans="1:8" x14ac:dyDescent="0.25">
      <c r="A922" s="76">
        <v>46227</v>
      </c>
      <c r="B922" s="78">
        <v>2817</v>
      </c>
      <c r="C922" s="78" t="s">
        <v>26</v>
      </c>
      <c r="D922" t="s">
        <v>320</v>
      </c>
      <c r="E922" s="77">
        <v>841000</v>
      </c>
      <c r="H922">
        <v>8</v>
      </c>
    </row>
    <row r="923" spans="1:8" x14ac:dyDescent="0.25">
      <c r="A923" s="76">
        <v>46227</v>
      </c>
      <c r="B923" s="78">
        <v>2913</v>
      </c>
      <c r="C923" s="78" t="s">
        <v>26</v>
      </c>
      <c r="D923" t="s">
        <v>365</v>
      </c>
      <c r="E923" s="77">
        <v>588800</v>
      </c>
      <c r="H923">
        <v>7</v>
      </c>
    </row>
    <row r="924" spans="1:8" x14ac:dyDescent="0.25">
      <c r="A924" s="76">
        <v>46228</v>
      </c>
      <c r="B924" s="78">
        <v>2511</v>
      </c>
      <c r="C924" s="78" t="s">
        <v>26</v>
      </c>
      <c r="D924" t="s">
        <v>171</v>
      </c>
      <c r="E924" s="77">
        <v>712300</v>
      </c>
      <c r="H924">
        <v>13</v>
      </c>
    </row>
    <row r="925" spans="1:8" hidden="1" x14ac:dyDescent="0.25">
      <c r="A925" s="76">
        <v>46228</v>
      </c>
      <c r="B925" s="78">
        <v>2825</v>
      </c>
      <c r="C925" s="78" t="s">
        <v>26</v>
      </c>
      <c r="D925" t="s">
        <v>322</v>
      </c>
      <c r="E925" s="77">
        <v>619100</v>
      </c>
      <c r="F925" s="77">
        <v>619100</v>
      </c>
      <c r="G925" s="79">
        <v>46174</v>
      </c>
      <c r="H925">
        <v>8</v>
      </c>
    </row>
    <row r="926" spans="1:8" x14ac:dyDescent="0.25">
      <c r="A926" s="76">
        <v>46228</v>
      </c>
      <c r="B926" s="78">
        <v>2828</v>
      </c>
      <c r="C926" s="78" t="s">
        <v>26</v>
      </c>
      <c r="D926" t="s">
        <v>309</v>
      </c>
      <c r="E926" s="77">
        <v>441300</v>
      </c>
      <c r="H926">
        <v>8</v>
      </c>
    </row>
    <row r="927" spans="1:8" x14ac:dyDescent="0.25">
      <c r="A927" s="76">
        <v>46228</v>
      </c>
      <c r="B927" s="78">
        <v>3151</v>
      </c>
      <c r="C927" s="78" t="s">
        <v>26</v>
      </c>
      <c r="D927" t="s">
        <v>444</v>
      </c>
      <c r="E927" s="77">
        <v>614700</v>
      </c>
      <c r="H927">
        <v>4</v>
      </c>
    </row>
    <row r="928" spans="1:8" x14ac:dyDescent="0.25">
      <c r="A928" s="76">
        <v>46228</v>
      </c>
      <c r="B928" s="78">
        <v>51</v>
      </c>
      <c r="C928" s="78" t="s">
        <v>26</v>
      </c>
      <c r="D928" t="s">
        <v>523</v>
      </c>
      <c r="E928" s="77">
        <v>242200</v>
      </c>
      <c r="H928">
        <v>3</v>
      </c>
    </row>
    <row r="929" spans="1:8" x14ac:dyDescent="0.25">
      <c r="A929" s="76">
        <v>46228</v>
      </c>
      <c r="B929" s="78">
        <v>122</v>
      </c>
      <c r="C929" s="78" t="s">
        <v>26</v>
      </c>
      <c r="D929" t="s">
        <v>547</v>
      </c>
      <c r="E929" s="77">
        <v>511200</v>
      </c>
      <c r="H929">
        <v>2</v>
      </c>
    </row>
    <row r="930" spans="1:8" x14ac:dyDescent="0.25">
      <c r="A930" s="76">
        <v>46228</v>
      </c>
      <c r="B930" s="78">
        <v>123</v>
      </c>
      <c r="C930" s="78" t="s">
        <v>26</v>
      </c>
      <c r="D930" t="s">
        <v>548</v>
      </c>
      <c r="E930" s="77">
        <v>407700</v>
      </c>
      <c r="H930">
        <v>2</v>
      </c>
    </row>
    <row r="931" spans="1:8" x14ac:dyDescent="0.25">
      <c r="A931" s="76">
        <v>46229</v>
      </c>
      <c r="B931" s="78">
        <v>2290</v>
      </c>
      <c r="C931" s="78" t="s">
        <v>26</v>
      </c>
      <c r="D931" t="s">
        <v>95</v>
      </c>
      <c r="E931" s="77">
        <v>629900</v>
      </c>
      <c r="H931">
        <v>16</v>
      </c>
    </row>
    <row r="932" spans="1:8" x14ac:dyDescent="0.25">
      <c r="A932" s="76">
        <v>46229</v>
      </c>
      <c r="B932" s="78">
        <v>2515</v>
      </c>
      <c r="C932" s="78" t="s">
        <v>26</v>
      </c>
      <c r="D932" t="s">
        <v>174</v>
      </c>
      <c r="E932" s="77">
        <v>804500</v>
      </c>
      <c r="H932">
        <v>13</v>
      </c>
    </row>
    <row r="933" spans="1:8" hidden="1" x14ac:dyDescent="0.25">
      <c r="A933" s="76">
        <v>46229</v>
      </c>
      <c r="B933" s="78">
        <v>2919</v>
      </c>
      <c r="C933" s="78" t="s">
        <v>26</v>
      </c>
      <c r="D933" t="s">
        <v>369</v>
      </c>
      <c r="E933" s="77">
        <v>440800</v>
      </c>
      <c r="F933" s="77">
        <v>440800</v>
      </c>
      <c r="G933" s="79">
        <v>46160</v>
      </c>
      <c r="H933">
        <v>7</v>
      </c>
    </row>
    <row r="934" spans="1:8" x14ac:dyDescent="0.25">
      <c r="A934" s="76">
        <v>46229</v>
      </c>
      <c r="B934" s="78">
        <v>3157</v>
      </c>
      <c r="C934" s="78" t="s">
        <v>26</v>
      </c>
      <c r="D934" t="s">
        <v>447</v>
      </c>
      <c r="E934" s="77">
        <v>407700</v>
      </c>
      <c r="H934">
        <v>4</v>
      </c>
    </row>
    <row r="935" spans="1:8" x14ac:dyDescent="0.25">
      <c r="A935" s="76">
        <v>46229</v>
      </c>
      <c r="B935" s="78">
        <v>125</v>
      </c>
      <c r="C935" s="78" t="s">
        <v>26</v>
      </c>
      <c r="D935" t="s">
        <v>549</v>
      </c>
      <c r="E935" s="77">
        <v>922100</v>
      </c>
      <c r="H935">
        <v>2</v>
      </c>
    </row>
    <row r="936" spans="1:8" hidden="1" x14ac:dyDescent="0.25">
      <c r="A936" s="76">
        <v>46229</v>
      </c>
      <c r="B936" s="78">
        <v>128</v>
      </c>
      <c r="C936" s="78" t="s">
        <v>26</v>
      </c>
      <c r="D936" t="s">
        <v>550</v>
      </c>
      <c r="E936" s="77">
        <v>792800</v>
      </c>
      <c r="F936" s="77">
        <v>792800</v>
      </c>
      <c r="G936" s="79">
        <v>46217</v>
      </c>
      <c r="H936">
        <v>2</v>
      </c>
    </row>
    <row r="937" spans="1:8" x14ac:dyDescent="0.25">
      <c r="A937" s="76">
        <v>46230</v>
      </c>
      <c r="B937" s="78">
        <v>2662</v>
      </c>
      <c r="C937" s="78" t="s">
        <v>26</v>
      </c>
      <c r="D937" t="s">
        <v>236</v>
      </c>
      <c r="E937" s="77">
        <v>869800</v>
      </c>
      <c r="H937">
        <v>11</v>
      </c>
    </row>
    <row r="938" spans="1:8" x14ac:dyDescent="0.25">
      <c r="A938" s="76">
        <v>46230</v>
      </c>
      <c r="B938" s="78">
        <v>2768</v>
      </c>
      <c r="C938" s="78" t="s">
        <v>26</v>
      </c>
      <c r="D938" t="s">
        <v>295</v>
      </c>
      <c r="E938" s="77">
        <v>537100</v>
      </c>
      <c r="H938">
        <v>9</v>
      </c>
    </row>
    <row r="939" spans="1:8" x14ac:dyDescent="0.25">
      <c r="A939" s="76">
        <v>46230</v>
      </c>
      <c r="B939" s="78">
        <v>3082</v>
      </c>
      <c r="C939" s="78" t="s">
        <v>26</v>
      </c>
      <c r="D939" t="s">
        <v>439</v>
      </c>
      <c r="E939" s="77">
        <v>672000</v>
      </c>
      <c r="H939">
        <v>5</v>
      </c>
    </row>
    <row r="940" spans="1:8" x14ac:dyDescent="0.25">
      <c r="A940" s="76">
        <v>46230</v>
      </c>
      <c r="B940" s="78">
        <v>133</v>
      </c>
      <c r="C940" s="78" t="s">
        <v>26</v>
      </c>
      <c r="D940" t="s">
        <v>551</v>
      </c>
      <c r="E940" s="77">
        <v>2383200</v>
      </c>
      <c r="H940">
        <v>2</v>
      </c>
    </row>
    <row r="941" spans="1:8" x14ac:dyDescent="0.25">
      <c r="A941" s="76">
        <v>46231</v>
      </c>
      <c r="B941" s="78">
        <v>2517</v>
      </c>
      <c r="C941" s="78" t="s">
        <v>26</v>
      </c>
      <c r="D941" t="s">
        <v>176</v>
      </c>
      <c r="E941" s="77">
        <v>728700</v>
      </c>
      <c r="H941">
        <v>13</v>
      </c>
    </row>
    <row r="942" spans="1:8" hidden="1" x14ac:dyDescent="0.25">
      <c r="A942" s="76">
        <v>46232</v>
      </c>
      <c r="B942" s="78">
        <v>2588</v>
      </c>
      <c r="C942" s="78" t="s">
        <v>26</v>
      </c>
      <c r="D942" t="s">
        <v>201</v>
      </c>
      <c r="E942" s="77">
        <v>792000</v>
      </c>
      <c r="F942" s="77">
        <v>622515</v>
      </c>
      <c r="G942" s="79">
        <v>45976</v>
      </c>
      <c r="H942">
        <v>12</v>
      </c>
    </row>
    <row r="943" spans="1:8" hidden="1" x14ac:dyDescent="0.25">
      <c r="A943" s="76">
        <v>46232</v>
      </c>
      <c r="B943" s="78">
        <v>912</v>
      </c>
      <c r="C943" s="78" t="s">
        <v>240</v>
      </c>
      <c r="D943" t="s">
        <v>241</v>
      </c>
      <c r="E943" s="77">
        <v>605800</v>
      </c>
      <c r="F943" s="77">
        <v>476136</v>
      </c>
      <c r="G943" s="79">
        <v>45996</v>
      </c>
      <c r="H943">
        <v>12</v>
      </c>
    </row>
    <row r="944" spans="1:8" x14ac:dyDescent="0.25">
      <c r="A944" s="76">
        <v>46231</v>
      </c>
      <c r="B944" s="78">
        <v>2990</v>
      </c>
      <c r="C944" s="78" t="s">
        <v>26</v>
      </c>
      <c r="D944" t="s">
        <v>412</v>
      </c>
      <c r="E944" s="77">
        <v>1028500</v>
      </c>
      <c r="H944">
        <v>6</v>
      </c>
    </row>
    <row r="945" spans="1:8" x14ac:dyDescent="0.25">
      <c r="A945" s="76">
        <v>46231</v>
      </c>
      <c r="B945" s="78">
        <v>3086</v>
      </c>
      <c r="C945" s="78" t="s">
        <v>26</v>
      </c>
      <c r="D945" t="s">
        <v>441</v>
      </c>
      <c r="E945" s="77">
        <v>407700</v>
      </c>
      <c r="H945">
        <v>5</v>
      </c>
    </row>
    <row r="946" spans="1:8" x14ac:dyDescent="0.25">
      <c r="A946" s="76">
        <v>46233</v>
      </c>
      <c r="B946" s="78">
        <v>2674</v>
      </c>
      <c r="C946" s="78" t="s">
        <v>26</v>
      </c>
      <c r="D946" t="s">
        <v>238</v>
      </c>
      <c r="E946" s="77">
        <v>1080900</v>
      </c>
      <c r="H946">
        <v>11</v>
      </c>
    </row>
    <row r="947" spans="1:8" x14ac:dyDescent="0.25">
      <c r="A947" s="76">
        <v>46233</v>
      </c>
      <c r="B947" s="78">
        <v>2936</v>
      </c>
      <c r="C947" s="78" t="s">
        <v>26</v>
      </c>
      <c r="D947" t="s">
        <v>372</v>
      </c>
      <c r="E947" s="77">
        <v>488500</v>
      </c>
      <c r="H947">
        <v>7</v>
      </c>
    </row>
    <row r="948" spans="1:8" x14ac:dyDescent="0.25">
      <c r="A948" s="76">
        <v>46233</v>
      </c>
      <c r="B948" s="78">
        <v>3168</v>
      </c>
      <c r="C948" s="78" t="s">
        <v>26</v>
      </c>
      <c r="D948" t="s">
        <v>449</v>
      </c>
      <c r="E948" s="77">
        <v>659900</v>
      </c>
      <c r="H948">
        <v>4</v>
      </c>
    </row>
    <row r="949" spans="1:8" x14ac:dyDescent="0.25">
      <c r="A949" s="76">
        <v>46233</v>
      </c>
      <c r="B949" s="78">
        <v>3172</v>
      </c>
      <c r="C949" s="78" t="s">
        <v>26</v>
      </c>
      <c r="D949" t="s">
        <v>451</v>
      </c>
      <c r="E949" s="77">
        <v>645700</v>
      </c>
      <c r="H949">
        <v>4</v>
      </c>
    </row>
    <row r="950" spans="1:8" x14ac:dyDescent="0.25">
      <c r="A950" s="76">
        <v>46233</v>
      </c>
      <c r="B950" s="78">
        <v>62</v>
      </c>
      <c r="C950" s="78" t="s">
        <v>26</v>
      </c>
      <c r="D950" t="s">
        <v>526</v>
      </c>
      <c r="E950" s="77">
        <v>1107200</v>
      </c>
      <c r="H950">
        <v>3</v>
      </c>
    </row>
    <row r="951" spans="1:8" x14ac:dyDescent="0.25">
      <c r="A951" s="76">
        <v>46233</v>
      </c>
      <c r="B951" s="78">
        <v>65</v>
      </c>
      <c r="C951" s="78" t="s">
        <v>26</v>
      </c>
      <c r="D951" t="s">
        <v>527</v>
      </c>
      <c r="E951" s="77">
        <v>353500</v>
      </c>
      <c r="H951">
        <v>3</v>
      </c>
    </row>
    <row r="952" spans="1:8" x14ac:dyDescent="0.25">
      <c r="A952" s="76">
        <v>46233</v>
      </c>
      <c r="B952" s="78">
        <v>143</v>
      </c>
      <c r="C952" s="78" t="s">
        <v>26</v>
      </c>
      <c r="D952" t="s">
        <v>552</v>
      </c>
      <c r="E952" s="77">
        <v>429700</v>
      </c>
      <c r="H952">
        <v>2</v>
      </c>
    </row>
    <row r="953" spans="1:8" x14ac:dyDescent="0.25">
      <c r="A953" s="76">
        <v>46233</v>
      </c>
      <c r="B953" s="78">
        <v>217</v>
      </c>
      <c r="C953" s="78" t="s">
        <v>26</v>
      </c>
      <c r="D953" t="s">
        <v>581</v>
      </c>
      <c r="E953" s="77">
        <v>614700</v>
      </c>
      <c r="H953">
        <v>1</v>
      </c>
    </row>
    <row r="954" spans="1:8" x14ac:dyDescent="0.25">
      <c r="A954" s="76">
        <v>46234</v>
      </c>
      <c r="B954" s="78">
        <v>2597</v>
      </c>
      <c r="C954" s="78" t="s">
        <v>26</v>
      </c>
      <c r="D954" t="s">
        <v>204</v>
      </c>
      <c r="E954" s="77">
        <v>578500</v>
      </c>
      <c r="H954">
        <v>12</v>
      </c>
    </row>
    <row r="955" spans="1:8" hidden="1" x14ac:dyDescent="0.25">
      <c r="A955" s="76">
        <v>46234</v>
      </c>
      <c r="B955" s="78">
        <v>2998</v>
      </c>
      <c r="C955" s="78" t="s">
        <v>26</v>
      </c>
      <c r="D955" t="s">
        <v>426</v>
      </c>
      <c r="E955" s="77">
        <v>1034400</v>
      </c>
      <c r="F955" s="77">
        <v>1034400</v>
      </c>
      <c r="G955" s="79">
        <v>46209</v>
      </c>
      <c r="H955">
        <v>6</v>
      </c>
    </row>
    <row r="956" spans="1:8" x14ac:dyDescent="0.25">
      <c r="A956" s="76">
        <v>46234</v>
      </c>
      <c r="B956" s="78">
        <v>3007</v>
      </c>
      <c r="C956" s="78" t="s">
        <v>26</v>
      </c>
      <c r="D956" t="s">
        <v>428</v>
      </c>
      <c r="E956" s="77">
        <v>861400</v>
      </c>
      <c r="H956">
        <v>6</v>
      </c>
    </row>
    <row r="957" spans="1:8" x14ac:dyDescent="0.25">
      <c r="A957" s="76">
        <v>46234</v>
      </c>
      <c r="B957" s="78">
        <v>3008</v>
      </c>
      <c r="C957" s="78" t="s">
        <v>26</v>
      </c>
      <c r="D957" t="s">
        <v>430</v>
      </c>
      <c r="E957" s="77">
        <v>813500</v>
      </c>
      <c r="H957">
        <v>6</v>
      </c>
    </row>
    <row r="958" spans="1:8" x14ac:dyDescent="0.25">
      <c r="A958" s="76">
        <v>46234</v>
      </c>
      <c r="B958" s="78">
        <v>3175</v>
      </c>
      <c r="C958" s="78" t="s">
        <v>26</v>
      </c>
      <c r="D958" t="s">
        <v>455</v>
      </c>
      <c r="E958" s="77">
        <v>1617200</v>
      </c>
      <c r="H958">
        <v>4</v>
      </c>
    </row>
    <row r="959" spans="1:8" x14ac:dyDescent="0.25">
      <c r="A959" s="76">
        <v>46235</v>
      </c>
      <c r="B959" s="78">
        <v>2311</v>
      </c>
      <c r="C959" s="78" t="s">
        <v>26</v>
      </c>
      <c r="D959" t="s">
        <v>93</v>
      </c>
      <c r="E959" s="77">
        <v>418100</v>
      </c>
      <c r="H959">
        <v>16</v>
      </c>
    </row>
    <row r="960" spans="1:8" x14ac:dyDescent="0.25">
      <c r="A960" s="76">
        <v>46235</v>
      </c>
      <c r="B960" s="78">
        <v>2677</v>
      </c>
      <c r="C960" s="78" t="s">
        <v>26</v>
      </c>
      <c r="D960" t="s">
        <v>255</v>
      </c>
      <c r="E960" s="77">
        <v>1033600</v>
      </c>
      <c r="H960">
        <v>11</v>
      </c>
    </row>
    <row r="961" spans="1:8" x14ac:dyDescent="0.25">
      <c r="A961" s="76">
        <v>46236</v>
      </c>
      <c r="B961" s="78">
        <v>154</v>
      </c>
      <c r="C961" s="78" t="s">
        <v>26</v>
      </c>
      <c r="D961" t="s">
        <v>553</v>
      </c>
      <c r="E961" s="77">
        <v>379100</v>
      </c>
      <c r="H961">
        <v>2</v>
      </c>
    </row>
    <row r="962" spans="1:8" x14ac:dyDescent="0.25">
      <c r="A962" s="76">
        <v>46237</v>
      </c>
      <c r="B962" s="78">
        <v>2520</v>
      </c>
      <c r="C962" s="78" t="s">
        <v>26</v>
      </c>
      <c r="D962" t="s">
        <v>196</v>
      </c>
      <c r="E962" s="77">
        <v>481700</v>
      </c>
      <c r="H962">
        <v>13</v>
      </c>
    </row>
    <row r="963" spans="1:8" x14ac:dyDescent="0.25">
      <c r="A963" s="76">
        <v>46237</v>
      </c>
      <c r="B963" s="78">
        <v>2847</v>
      </c>
      <c r="C963" s="78" t="s">
        <v>26</v>
      </c>
      <c r="D963" t="s">
        <v>330</v>
      </c>
      <c r="E963" s="77">
        <v>419300</v>
      </c>
      <c r="H963">
        <v>8</v>
      </c>
    </row>
    <row r="964" spans="1:8" x14ac:dyDescent="0.25">
      <c r="A964" s="76">
        <v>46238</v>
      </c>
      <c r="B964" s="78">
        <v>2849</v>
      </c>
      <c r="C964" s="78" t="s">
        <v>26</v>
      </c>
      <c r="D964" t="s">
        <v>334</v>
      </c>
      <c r="E964" s="77">
        <v>365300</v>
      </c>
      <c r="H964">
        <v>8</v>
      </c>
    </row>
    <row r="965" spans="1:8" x14ac:dyDescent="0.25">
      <c r="A965" s="76">
        <v>46238</v>
      </c>
      <c r="B965" s="78">
        <v>2850</v>
      </c>
      <c r="C965" s="78" t="s">
        <v>26</v>
      </c>
      <c r="D965" t="s">
        <v>332</v>
      </c>
      <c r="E965" s="77">
        <v>615100</v>
      </c>
      <c r="H965">
        <v>8</v>
      </c>
    </row>
    <row r="966" spans="1:8" x14ac:dyDescent="0.25">
      <c r="A966" s="76">
        <v>46238</v>
      </c>
      <c r="B966" s="78">
        <v>2</v>
      </c>
      <c r="C966" s="78" t="s">
        <v>26</v>
      </c>
      <c r="D966" t="s">
        <v>457</v>
      </c>
      <c r="E966" s="77">
        <v>614700</v>
      </c>
      <c r="H966">
        <v>4</v>
      </c>
    </row>
    <row r="967" spans="1:8" x14ac:dyDescent="0.25">
      <c r="A967" s="76">
        <v>46239</v>
      </c>
      <c r="B967" s="78">
        <v>3099</v>
      </c>
      <c r="C967" s="78" t="s">
        <v>26</v>
      </c>
      <c r="D967" t="s">
        <v>443</v>
      </c>
      <c r="E967" s="77">
        <v>614700</v>
      </c>
      <c r="H967">
        <v>5</v>
      </c>
    </row>
    <row r="968" spans="1:8" x14ac:dyDescent="0.25">
      <c r="A968" s="76">
        <v>46239</v>
      </c>
      <c r="B968" s="78">
        <v>72</v>
      </c>
      <c r="C968" s="78" t="s">
        <v>26</v>
      </c>
      <c r="D968" t="s">
        <v>529</v>
      </c>
      <c r="E968" s="77">
        <v>450400</v>
      </c>
      <c r="H968">
        <v>3</v>
      </c>
    </row>
    <row r="969" spans="1:8" x14ac:dyDescent="0.25">
      <c r="A969" s="76">
        <v>46239</v>
      </c>
      <c r="B969" s="78">
        <v>73</v>
      </c>
      <c r="C969" s="78" t="s">
        <v>26</v>
      </c>
      <c r="D969" t="s">
        <v>530</v>
      </c>
      <c r="E969" s="77">
        <v>468900</v>
      </c>
      <c r="H969">
        <v>3</v>
      </c>
    </row>
    <row r="970" spans="1:8" x14ac:dyDescent="0.25">
      <c r="A970" s="76">
        <v>46240</v>
      </c>
      <c r="B970" s="78">
        <v>2858</v>
      </c>
      <c r="C970" s="78" t="s">
        <v>26</v>
      </c>
      <c r="D970" t="s">
        <v>336</v>
      </c>
      <c r="E970" s="77">
        <v>779300</v>
      </c>
      <c r="H970">
        <v>8</v>
      </c>
    </row>
    <row r="971" spans="1:8" x14ac:dyDescent="0.25">
      <c r="A971" s="76">
        <v>46240</v>
      </c>
      <c r="B971" s="78">
        <v>2948</v>
      </c>
      <c r="C971" s="78" t="s">
        <v>26</v>
      </c>
      <c r="D971" t="s">
        <v>379</v>
      </c>
      <c r="E971" s="77">
        <v>298000</v>
      </c>
      <c r="F971" s="282">
        <v>3900</v>
      </c>
      <c r="G971" s="79">
        <v>46213</v>
      </c>
      <c r="H971">
        <v>7</v>
      </c>
    </row>
    <row r="972" spans="1:8" x14ac:dyDescent="0.25">
      <c r="A972" s="76">
        <v>46240</v>
      </c>
      <c r="B972" s="78">
        <v>5</v>
      </c>
      <c r="C972" s="78" t="s">
        <v>26</v>
      </c>
      <c r="D972" t="s">
        <v>461</v>
      </c>
      <c r="E972" s="77">
        <v>714200</v>
      </c>
      <c r="H972">
        <v>4</v>
      </c>
    </row>
    <row r="973" spans="1:8" x14ac:dyDescent="0.25">
      <c r="A973" s="76">
        <v>46240</v>
      </c>
      <c r="B973" s="78">
        <v>157</v>
      </c>
      <c r="C973" s="78" t="s">
        <v>26</v>
      </c>
      <c r="D973" t="s">
        <v>569</v>
      </c>
      <c r="E973" s="77">
        <v>1850200</v>
      </c>
      <c r="H973">
        <v>2</v>
      </c>
    </row>
    <row r="974" spans="1:8" x14ac:dyDescent="0.25">
      <c r="A974" s="76">
        <v>46240</v>
      </c>
      <c r="B974" s="78">
        <v>232</v>
      </c>
      <c r="C974" s="78" t="s">
        <v>26</v>
      </c>
      <c r="D974" t="s">
        <v>591</v>
      </c>
      <c r="E974" s="77">
        <v>892100</v>
      </c>
      <c r="H974">
        <v>1</v>
      </c>
    </row>
    <row r="975" spans="1:8" x14ac:dyDescent="0.25">
      <c r="A975" s="76">
        <v>46241</v>
      </c>
      <c r="B975" s="78">
        <v>78</v>
      </c>
      <c r="C975" s="78" t="s">
        <v>26</v>
      </c>
      <c r="D975" t="s">
        <v>531</v>
      </c>
      <c r="E975" s="77">
        <v>614700</v>
      </c>
      <c r="F975" s="282">
        <v>170600</v>
      </c>
      <c r="G975" s="79">
        <v>46210</v>
      </c>
      <c r="H975">
        <v>3</v>
      </c>
    </row>
    <row r="976" spans="1:8" hidden="1" x14ac:dyDescent="0.25">
      <c r="A976" s="76">
        <v>46242</v>
      </c>
      <c r="B976" s="78">
        <v>2860</v>
      </c>
      <c r="C976" s="78" t="s">
        <v>26</v>
      </c>
      <c r="D976" t="s">
        <v>338</v>
      </c>
      <c r="E976" s="77">
        <v>1218500</v>
      </c>
      <c r="F976" s="77">
        <v>1025964</v>
      </c>
      <c r="G976" s="79">
        <v>46191</v>
      </c>
      <c r="H976">
        <v>8</v>
      </c>
    </row>
    <row r="977" spans="1:8" x14ac:dyDescent="0.25">
      <c r="A977" s="76">
        <v>46242</v>
      </c>
      <c r="B977" s="78">
        <v>80</v>
      </c>
      <c r="C977" s="78" t="s">
        <v>26</v>
      </c>
      <c r="D977" t="s">
        <v>532</v>
      </c>
      <c r="E977" s="77">
        <v>134100</v>
      </c>
      <c r="H977">
        <v>3</v>
      </c>
    </row>
    <row r="978" spans="1:8" x14ac:dyDescent="0.25">
      <c r="A978" s="76">
        <v>46243</v>
      </c>
      <c r="B978" s="78">
        <v>2620</v>
      </c>
      <c r="C978" s="78" t="s">
        <v>26</v>
      </c>
      <c r="D978" t="s">
        <v>232</v>
      </c>
      <c r="E978" s="77">
        <v>780600</v>
      </c>
      <c r="H978">
        <v>12</v>
      </c>
    </row>
    <row r="979" spans="1:8" x14ac:dyDescent="0.25">
      <c r="A979" s="76">
        <v>46243</v>
      </c>
      <c r="B979" s="78">
        <v>883</v>
      </c>
      <c r="C979" s="78" t="s">
        <v>240</v>
      </c>
      <c r="D979" t="s">
        <v>243</v>
      </c>
      <c r="E979" s="77">
        <v>287300</v>
      </c>
      <c r="H979">
        <v>13</v>
      </c>
    </row>
    <row r="980" spans="1:8" x14ac:dyDescent="0.25">
      <c r="A980" s="76">
        <v>46243</v>
      </c>
      <c r="B980" s="78">
        <v>2861</v>
      </c>
      <c r="C980" s="78" t="s">
        <v>26</v>
      </c>
      <c r="D980" t="s">
        <v>340</v>
      </c>
      <c r="E980" s="77">
        <v>308200</v>
      </c>
      <c r="H980">
        <v>8</v>
      </c>
    </row>
    <row r="981" spans="1:8" x14ac:dyDescent="0.25">
      <c r="A981" s="76">
        <v>46244</v>
      </c>
      <c r="B981" s="78">
        <v>2399</v>
      </c>
      <c r="C981" s="78" t="s">
        <v>26</v>
      </c>
      <c r="D981" t="s">
        <v>121</v>
      </c>
      <c r="E981" s="77">
        <v>564700</v>
      </c>
      <c r="H981">
        <v>15</v>
      </c>
    </row>
    <row r="982" spans="1:8" x14ac:dyDescent="0.25">
      <c r="A982" s="76">
        <v>46245</v>
      </c>
      <c r="B982" s="78">
        <v>86</v>
      </c>
      <c r="C982" s="78" t="s">
        <v>26</v>
      </c>
      <c r="D982" t="s">
        <v>534</v>
      </c>
      <c r="E982" s="77">
        <v>1021400</v>
      </c>
      <c r="H982">
        <v>3</v>
      </c>
    </row>
    <row r="983" spans="1:8" x14ac:dyDescent="0.25">
      <c r="A983" s="76">
        <v>46248</v>
      </c>
      <c r="B983" s="78">
        <v>2405</v>
      </c>
      <c r="C983" s="78" t="s">
        <v>26</v>
      </c>
      <c r="D983" t="s">
        <v>129</v>
      </c>
      <c r="E983" s="77">
        <v>418100</v>
      </c>
      <c r="H983">
        <v>15</v>
      </c>
    </row>
    <row r="984" spans="1:8" x14ac:dyDescent="0.25">
      <c r="A984" s="76">
        <v>46250</v>
      </c>
      <c r="B984" s="78">
        <v>2878</v>
      </c>
      <c r="C984" s="78" t="s">
        <v>26</v>
      </c>
      <c r="D984" t="s">
        <v>361</v>
      </c>
      <c r="E984" s="77">
        <v>965900</v>
      </c>
      <c r="H984">
        <v>8</v>
      </c>
    </row>
    <row r="985" spans="1:8" x14ac:dyDescent="0.25">
      <c r="A985" s="76">
        <v>46251</v>
      </c>
      <c r="B985" s="78">
        <v>2566</v>
      </c>
      <c r="C985" s="78" t="s">
        <v>26</v>
      </c>
      <c r="D985" t="s">
        <v>200</v>
      </c>
      <c r="E985" s="77">
        <v>790200</v>
      </c>
      <c r="H985">
        <v>13</v>
      </c>
    </row>
    <row r="986" spans="1:8" x14ac:dyDescent="0.25">
      <c r="A986" s="76">
        <v>46251</v>
      </c>
      <c r="B986" s="78">
        <v>2967</v>
      </c>
      <c r="C986" s="78" t="s">
        <v>26</v>
      </c>
      <c r="D986" t="s">
        <v>396</v>
      </c>
      <c r="E986" s="77">
        <v>989800</v>
      </c>
      <c r="H986">
        <v>7</v>
      </c>
    </row>
    <row r="987" spans="1:8" x14ac:dyDescent="0.25">
      <c r="A987" s="76">
        <v>46251</v>
      </c>
      <c r="B987" s="78">
        <v>2968</v>
      </c>
      <c r="C987" s="78" t="s">
        <v>26</v>
      </c>
      <c r="D987" t="s">
        <v>398</v>
      </c>
      <c r="E987" s="77">
        <v>452200</v>
      </c>
      <c r="H987">
        <v>7</v>
      </c>
    </row>
    <row r="988" spans="1:8" x14ac:dyDescent="0.25">
      <c r="A988" s="76">
        <v>46252</v>
      </c>
      <c r="B988" s="78">
        <v>2493</v>
      </c>
      <c r="C988" s="78" t="s">
        <v>26</v>
      </c>
      <c r="D988" t="s">
        <v>166</v>
      </c>
      <c r="E988" s="77">
        <v>328300</v>
      </c>
      <c r="H988">
        <v>14</v>
      </c>
    </row>
    <row r="989" spans="1:8" x14ac:dyDescent="0.25">
      <c r="A989" s="76">
        <v>46252</v>
      </c>
      <c r="B989" s="78">
        <v>3060</v>
      </c>
      <c r="C989" s="78" t="s">
        <v>26</v>
      </c>
      <c r="D989" t="s">
        <v>432</v>
      </c>
      <c r="E989" s="77">
        <v>623600</v>
      </c>
      <c r="H989">
        <v>6</v>
      </c>
    </row>
    <row r="990" spans="1:8" x14ac:dyDescent="0.25">
      <c r="A990" s="76">
        <v>46252</v>
      </c>
      <c r="B990" s="78">
        <v>31</v>
      </c>
      <c r="C990" s="78" t="s">
        <v>26</v>
      </c>
      <c r="D990" t="s">
        <v>501</v>
      </c>
      <c r="E990" s="77">
        <v>581500</v>
      </c>
      <c r="H990">
        <v>4</v>
      </c>
    </row>
    <row r="991" spans="1:8" x14ac:dyDescent="0.25">
      <c r="A991" s="76">
        <v>46252</v>
      </c>
      <c r="B991" s="78">
        <v>32</v>
      </c>
      <c r="C991" s="78" t="s">
        <v>26</v>
      </c>
      <c r="D991" t="s">
        <v>503</v>
      </c>
      <c r="E991" s="77">
        <v>252500</v>
      </c>
      <c r="H991">
        <v>4</v>
      </c>
    </row>
    <row r="992" spans="1:8" x14ac:dyDescent="0.25">
      <c r="A992" s="76">
        <v>46253</v>
      </c>
      <c r="B992" s="78">
        <v>2494</v>
      </c>
      <c r="C992" s="78" t="s">
        <v>26</v>
      </c>
      <c r="D992" t="s">
        <v>168</v>
      </c>
      <c r="E992" s="77">
        <v>425600</v>
      </c>
      <c r="H992">
        <v>14</v>
      </c>
    </row>
    <row r="993" spans="1:8" x14ac:dyDescent="0.25">
      <c r="A993" s="76">
        <v>46253</v>
      </c>
      <c r="B993" s="78">
        <v>2637</v>
      </c>
      <c r="C993" s="78" t="s">
        <v>26</v>
      </c>
      <c r="D993" t="s">
        <v>221</v>
      </c>
      <c r="E993" s="77">
        <v>663300</v>
      </c>
      <c r="H993">
        <v>12</v>
      </c>
    </row>
    <row r="994" spans="1:8" x14ac:dyDescent="0.25">
      <c r="A994" s="76">
        <v>46253</v>
      </c>
      <c r="B994" s="78">
        <v>2810</v>
      </c>
      <c r="C994" s="78" t="s">
        <v>26</v>
      </c>
      <c r="D994" t="s">
        <v>318</v>
      </c>
      <c r="E994" s="77">
        <v>557500</v>
      </c>
      <c r="H994">
        <v>9</v>
      </c>
    </row>
    <row r="995" spans="1:8" x14ac:dyDescent="0.25">
      <c r="A995" s="76">
        <v>46253</v>
      </c>
      <c r="B995" s="78">
        <v>1110</v>
      </c>
      <c r="C995" s="78" t="s">
        <v>240</v>
      </c>
      <c r="D995" t="s">
        <v>419</v>
      </c>
      <c r="E995" s="77">
        <v>751300</v>
      </c>
      <c r="H995">
        <v>7</v>
      </c>
    </row>
    <row r="996" spans="1:8" x14ac:dyDescent="0.25">
      <c r="A996" s="76">
        <v>46253</v>
      </c>
      <c r="B996" s="78">
        <v>3062</v>
      </c>
      <c r="C996" s="78" t="s">
        <v>26</v>
      </c>
      <c r="D996" t="s">
        <v>435</v>
      </c>
      <c r="E996" s="77">
        <v>452200</v>
      </c>
      <c r="H996">
        <v>6</v>
      </c>
    </row>
    <row r="997" spans="1:8" hidden="1" x14ac:dyDescent="0.25">
      <c r="A997" s="76">
        <v>46254</v>
      </c>
      <c r="B997" s="78">
        <v>2498</v>
      </c>
      <c r="C997" s="78" t="s">
        <v>26</v>
      </c>
      <c r="D997" t="s">
        <v>153</v>
      </c>
      <c r="E997" s="77">
        <v>904200</v>
      </c>
      <c r="F997" s="77">
        <v>761305</v>
      </c>
      <c r="G997" s="79">
        <v>46112</v>
      </c>
      <c r="H997">
        <v>14</v>
      </c>
    </row>
    <row r="998" spans="1:8" x14ac:dyDescent="0.25">
      <c r="A998" s="76">
        <v>46254</v>
      </c>
      <c r="B998" s="78">
        <v>2640</v>
      </c>
      <c r="C998" s="78" t="s">
        <v>26</v>
      </c>
      <c r="D998" t="s">
        <v>234</v>
      </c>
      <c r="E998" s="77">
        <v>789900</v>
      </c>
      <c r="H998">
        <v>12</v>
      </c>
    </row>
    <row r="999" spans="1:8" x14ac:dyDescent="0.25">
      <c r="A999" s="76">
        <v>46254</v>
      </c>
      <c r="B999" s="78">
        <v>2973</v>
      </c>
      <c r="C999" s="78" t="s">
        <v>26</v>
      </c>
      <c r="D999" t="s">
        <v>400</v>
      </c>
      <c r="E999" s="77">
        <v>696400</v>
      </c>
      <c r="H999">
        <v>7</v>
      </c>
    </row>
    <row r="1000" spans="1:8" x14ac:dyDescent="0.25">
      <c r="A1000" s="76">
        <v>46254</v>
      </c>
      <c r="B1000" s="78">
        <v>3068</v>
      </c>
      <c r="C1000" s="78" t="s">
        <v>26</v>
      </c>
      <c r="D1000" t="s">
        <v>437</v>
      </c>
      <c r="E1000" s="77">
        <v>450400</v>
      </c>
      <c r="H1000">
        <v>6</v>
      </c>
    </row>
    <row r="1001" spans="1:8" x14ac:dyDescent="0.25">
      <c r="A1001" s="76">
        <v>46255</v>
      </c>
      <c r="B1001" s="78">
        <v>2344</v>
      </c>
      <c r="C1001" s="78" t="s">
        <v>26</v>
      </c>
      <c r="D1001" t="s">
        <v>109</v>
      </c>
      <c r="E1001" s="77">
        <v>317700</v>
      </c>
      <c r="H1001">
        <v>16</v>
      </c>
    </row>
    <row r="1002" spans="1:8" x14ac:dyDescent="0.25">
      <c r="A1002" s="76">
        <v>46255</v>
      </c>
      <c r="B1002" s="78">
        <v>2500</v>
      </c>
      <c r="C1002" s="78" t="s">
        <v>26</v>
      </c>
      <c r="D1002" t="s">
        <v>155</v>
      </c>
      <c r="E1002" s="77">
        <v>600000</v>
      </c>
      <c r="H1002">
        <v>14</v>
      </c>
    </row>
    <row r="1003" spans="1:8" hidden="1" x14ac:dyDescent="0.25">
      <c r="A1003" s="76">
        <v>46255</v>
      </c>
      <c r="B1003" s="78">
        <v>2501</v>
      </c>
      <c r="C1003" s="78" t="s">
        <v>26</v>
      </c>
      <c r="D1003" t="s">
        <v>157</v>
      </c>
      <c r="E1003" s="77">
        <v>325300</v>
      </c>
      <c r="F1003" s="77">
        <v>273855</v>
      </c>
      <c r="G1003" s="79">
        <v>46112</v>
      </c>
      <c r="H1003">
        <v>14</v>
      </c>
    </row>
    <row r="1004" spans="1:8" x14ac:dyDescent="0.25">
      <c r="A1004" s="76">
        <v>46255</v>
      </c>
      <c r="B1004" s="78">
        <v>1112</v>
      </c>
      <c r="C1004" s="78" t="s">
        <v>240</v>
      </c>
      <c r="D1004" t="s">
        <v>467</v>
      </c>
      <c r="E1004" s="77">
        <v>649000</v>
      </c>
      <c r="H1004">
        <v>7</v>
      </c>
    </row>
    <row r="1005" spans="1:8" x14ac:dyDescent="0.25">
      <c r="A1005" s="76">
        <v>46256</v>
      </c>
      <c r="B1005" s="78">
        <v>2346</v>
      </c>
      <c r="C1005" s="78" t="s">
        <v>26</v>
      </c>
      <c r="D1005" t="s">
        <v>111</v>
      </c>
      <c r="E1005" s="77">
        <v>656200</v>
      </c>
      <c r="H1005">
        <v>16</v>
      </c>
    </row>
    <row r="1006" spans="1:8" hidden="1" x14ac:dyDescent="0.25">
      <c r="A1006" s="76">
        <v>46257</v>
      </c>
      <c r="B1006" s="78">
        <v>2348</v>
      </c>
      <c r="C1006" s="78" t="s">
        <v>26</v>
      </c>
      <c r="D1006" t="s">
        <v>113</v>
      </c>
      <c r="E1006" s="77">
        <v>393500</v>
      </c>
      <c r="F1006" s="77">
        <v>354905</v>
      </c>
      <c r="G1006" s="79">
        <v>45891</v>
      </c>
      <c r="H1006">
        <v>16</v>
      </c>
    </row>
    <row r="1007" spans="1:8" x14ac:dyDescent="0.25">
      <c r="A1007" s="76">
        <v>46256</v>
      </c>
      <c r="B1007" s="78">
        <v>117</v>
      </c>
      <c r="C1007" s="78" t="s">
        <v>26</v>
      </c>
      <c r="D1007" t="s">
        <v>545</v>
      </c>
      <c r="E1007" s="77">
        <v>1030700</v>
      </c>
      <c r="H1007">
        <v>3</v>
      </c>
    </row>
    <row r="1008" spans="1:8" x14ac:dyDescent="0.25">
      <c r="A1008" s="76">
        <v>46257</v>
      </c>
      <c r="B1008" s="78">
        <v>45</v>
      </c>
      <c r="C1008" s="78" t="s">
        <v>26</v>
      </c>
      <c r="D1008" t="s">
        <v>519</v>
      </c>
      <c r="E1008" s="77">
        <v>658800</v>
      </c>
      <c r="H1008">
        <v>4</v>
      </c>
    </row>
    <row r="1009" spans="1:8" x14ac:dyDescent="0.25">
      <c r="A1009" s="76">
        <v>46257</v>
      </c>
      <c r="B1009" s="78">
        <v>47</v>
      </c>
      <c r="C1009" s="78" t="s">
        <v>26</v>
      </c>
      <c r="D1009" t="s">
        <v>522</v>
      </c>
      <c r="E1009" s="77">
        <v>304200</v>
      </c>
      <c r="H1009">
        <v>4</v>
      </c>
    </row>
    <row r="1010" spans="1:8" x14ac:dyDescent="0.25">
      <c r="A1010" s="76">
        <v>46257</v>
      </c>
      <c r="B1010" s="78">
        <v>119</v>
      </c>
      <c r="C1010" s="78" t="s">
        <v>26</v>
      </c>
      <c r="D1010" t="s">
        <v>546</v>
      </c>
      <c r="E1010" s="77">
        <v>803800</v>
      </c>
      <c r="H1010">
        <v>3</v>
      </c>
    </row>
    <row r="1011" spans="1:8" x14ac:dyDescent="0.25">
      <c r="A1011" s="76">
        <v>46258</v>
      </c>
      <c r="B1011" s="78">
        <v>2431</v>
      </c>
      <c r="C1011" s="78" t="s">
        <v>26</v>
      </c>
      <c r="D1011" t="s">
        <v>149</v>
      </c>
      <c r="E1011" s="77">
        <v>313900</v>
      </c>
      <c r="H1011">
        <v>15</v>
      </c>
    </row>
    <row r="1012" spans="1:8" x14ac:dyDescent="0.25">
      <c r="A1012" s="76">
        <v>46258</v>
      </c>
      <c r="B1012" s="78">
        <v>2817</v>
      </c>
      <c r="C1012" s="78" t="s">
        <v>26</v>
      </c>
      <c r="D1012" t="s">
        <v>320</v>
      </c>
      <c r="E1012" s="77">
        <v>841000</v>
      </c>
      <c r="H1012">
        <v>9</v>
      </c>
    </row>
    <row r="1013" spans="1:8" x14ac:dyDescent="0.25">
      <c r="A1013" s="76">
        <v>46258</v>
      </c>
      <c r="B1013" s="78">
        <v>2913</v>
      </c>
      <c r="C1013" s="78" t="s">
        <v>26</v>
      </c>
      <c r="D1013" t="s">
        <v>365</v>
      </c>
      <c r="E1013" s="77">
        <v>588800</v>
      </c>
      <c r="H1013">
        <v>8</v>
      </c>
    </row>
    <row r="1014" spans="1:8" x14ac:dyDescent="0.25">
      <c r="A1014" s="76">
        <v>46259</v>
      </c>
      <c r="B1014" s="78">
        <v>2511</v>
      </c>
      <c r="C1014" s="78" t="s">
        <v>26</v>
      </c>
      <c r="D1014" t="s">
        <v>171</v>
      </c>
      <c r="E1014" s="77">
        <v>712300</v>
      </c>
      <c r="H1014">
        <v>14</v>
      </c>
    </row>
    <row r="1015" spans="1:8" hidden="1" x14ac:dyDescent="0.25">
      <c r="A1015" s="76">
        <v>46259</v>
      </c>
      <c r="B1015" s="78">
        <v>2825</v>
      </c>
      <c r="C1015" s="78" t="s">
        <v>26</v>
      </c>
      <c r="D1015" t="s">
        <v>322</v>
      </c>
      <c r="E1015" s="77">
        <v>619100</v>
      </c>
      <c r="F1015" s="77">
        <v>619100</v>
      </c>
      <c r="G1015" s="79">
        <v>46174</v>
      </c>
      <c r="H1015">
        <v>9</v>
      </c>
    </row>
    <row r="1016" spans="1:8" x14ac:dyDescent="0.25">
      <c r="A1016" s="76">
        <v>46259</v>
      </c>
      <c r="B1016" s="78">
        <v>2828</v>
      </c>
      <c r="C1016" s="78" t="s">
        <v>26</v>
      </c>
      <c r="D1016" t="s">
        <v>309</v>
      </c>
      <c r="E1016" s="77">
        <v>441300</v>
      </c>
      <c r="H1016">
        <v>9</v>
      </c>
    </row>
    <row r="1017" spans="1:8" x14ac:dyDescent="0.25">
      <c r="A1017" s="76">
        <v>46259</v>
      </c>
      <c r="B1017" s="78">
        <v>3151</v>
      </c>
      <c r="C1017" s="78" t="s">
        <v>26</v>
      </c>
      <c r="D1017" t="s">
        <v>444</v>
      </c>
      <c r="E1017" s="77">
        <v>614700</v>
      </c>
      <c r="H1017">
        <v>5</v>
      </c>
    </row>
    <row r="1018" spans="1:8" x14ac:dyDescent="0.25">
      <c r="A1018" s="76">
        <v>46259</v>
      </c>
      <c r="B1018" s="78">
        <v>51</v>
      </c>
      <c r="C1018" s="78" t="s">
        <v>26</v>
      </c>
      <c r="D1018" t="s">
        <v>523</v>
      </c>
      <c r="E1018" s="77">
        <v>242200</v>
      </c>
      <c r="H1018">
        <v>4</v>
      </c>
    </row>
    <row r="1019" spans="1:8" x14ac:dyDescent="0.25">
      <c r="A1019" s="76">
        <v>46259</v>
      </c>
      <c r="B1019" s="78">
        <v>122</v>
      </c>
      <c r="C1019" s="78" t="s">
        <v>26</v>
      </c>
      <c r="D1019" t="s">
        <v>547</v>
      </c>
      <c r="E1019" s="77">
        <v>511200</v>
      </c>
      <c r="H1019">
        <v>3</v>
      </c>
    </row>
    <row r="1020" spans="1:8" x14ac:dyDescent="0.25">
      <c r="A1020" s="76">
        <v>46259</v>
      </c>
      <c r="B1020" s="78">
        <v>123</v>
      </c>
      <c r="C1020" s="78" t="s">
        <v>26</v>
      </c>
      <c r="D1020" t="s">
        <v>548</v>
      </c>
      <c r="E1020" s="77">
        <v>407700</v>
      </c>
      <c r="H1020">
        <v>3</v>
      </c>
    </row>
    <row r="1021" spans="1:8" x14ac:dyDescent="0.25">
      <c r="A1021" s="76">
        <v>46260</v>
      </c>
      <c r="B1021" s="78">
        <v>2290</v>
      </c>
      <c r="C1021" s="78" t="s">
        <v>26</v>
      </c>
      <c r="D1021" t="s">
        <v>95</v>
      </c>
      <c r="E1021" s="77">
        <v>629900</v>
      </c>
      <c r="H1021">
        <v>17</v>
      </c>
    </row>
    <row r="1022" spans="1:8" x14ac:dyDescent="0.25">
      <c r="A1022" s="76">
        <v>46260</v>
      </c>
      <c r="B1022" s="78">
        <v>2515</v>
      </c>
      <c r="C1022" s="78" t="s">
        <v>26</v>
      </c>
      <c r="D1022" t="s">
        <v>174</v>
      </c>
      <c r="E1022" s="77">
        <v>804500</v>
      </c>
      <c r="H1022">
        <v>14</v>
      </c>
    </row>
    <row r="1023" spans="1:8" hidden="1" x14ac:dyDescent="0.25">
      <c r="A1023" s="76">
        <v>46260</v>
      </c>
      <c r="B1023" s="78">
        <v>2919</v>
      </c>
      <c r="C1023" s="78" t="s">
        <v>26</v>
      </c>
      <c r="D1023" t="s">
        <v>369</v>
      </c>
      <c r="E1023" s="77">
        <v>440800</v>
      </c>
      <c r="F1023" s="77">
        <v>440800</v>
      </c>
      <c r="G1023" s="79">
        <v>46160</v>
      </c>
      <c r="H1023">
        <v>8</v>
      </c>
    </row>
    <row r="1024" spans="1:8" x14ac:dyDescent="0.25">
      <c r="A1024" s="76">
        <v>46260</v>
      </c>
      <c r="B1024" s="78">
        <v>3157</v>
      </c>
      <c r="C1024" s="78" t="s">
        <v>26</v>
      </c>
      <c r="D1024" t="s">
        <v>447</v>
      </c>
      <c r="E1024" s="77">
        <v>407700</v>
      </c>
      <c r="H1024">
        <v>5</v>
      </c>
    </row>
    <row r="1025" spans="1:8" x14ac:dyDescent="0.25">
      <c r="A1025" s="76">
        <v>46260</v>
      </c>
      <c r="B1025" s="78">
        <v>125</v>
      </c>
      <c r="C1025" s="78" t="s">
        <v>26</v>
      </c>
      <c r="D1025" t="s">
        <v>549</v>
      </c>
      <c r="E1025" s="77">
        <v>922100</v>
      </c>
      <c r="H1025">
        <v>3</v>
      </c>
    </row>
    <row r="1026" spans="1:8" x14ac:dyDescent="0.25">
      <c r="A1026" s="76">
        <v>46260</v>
      </c>
      <c r="B1026" s="78">
        <v>128</v>
      </c>
      <c r="C1026" s="78" t="s">
        <v>26</v>
      </c>
      <c r="D1026" t="s">
        <v>550</v>
      </c>
      <c r="E1026" s="77">
        <v>792800</v>
      </c>
      <c r="H1026">
        <v>3</v>
      </c>
    </row>
    <row r="1027" spans="1:8" x14ac:dyDescent="0.25">
      <c r="A1027" s="76">
        <v>46261</v>
      </c>
      <c r="B1027" s="78">
        <v>2662</v>
      </c>
      <c r="C1027" s="78" t="s">
        <v>26</v>
      </c>
      <c r="D1027" t="s">
        <v>236</v>
      </c>
      <c r="E1027" s="77">
        <v>869800</v>
      </c>
      <c r="H1027">
        <v>12</v>
      </c>
    </row>
    <row r="1028" spans="1:8" x14ac:dyDescent="0.25">
      <c r="A1028" s="76">
        <v>46261</v>
      </c>
      <c r="B1028" s="78">
        <v>2768</v>
      </c>
      <c r="C1028" s="78" t="s">
        <v>26</v>
      </c>
      <c r="D1028" t="s">
        <v>295</v>
      </c>
      <c r="E1028" s="77">
        <v>537100</v>
      </c>
      <c r="H1028">
        <v>10</v>
      </c>
    </row>
    <row r="1029" spans="1:8" x14ac:dyDescent="0.25">
      <c r="A1029" s="76">
        <v>46261</v>
      </c>
      <c r="B1029" s="78">
        <v>3082</v>
      </c>
      <c r="C1029" s="78" t="s">
        <v>26</v>
      </c>
      <c r="D1029" t="s">
        <v>439</v>
      </c>
      <c r="E1029" s="77">
        <v>672000</v>
      </c>
      <c r="H1029">
        <v>6</v>
      </c>
    </row>
    <row r="1030" spans="1:8" x14ac:dyDescent="0.25">
      <c r="A1030" s="76">
        <v>46261</v>
      </c>
      <c r="B1030" s="78">
        <v>133</v>
      </c>
      <c r="C1030" s="78" t="s">
        <v>26</v>
      </c>
      <c r="D1030" t="s">
        <v>551</v>
      </c>
      <c r="E1030" s="77">
        <v>2383200</v>
      </c>
      <c r="H1030">
        <v>3</v>
      </c>
    </row>
    <row r="1031" spans="1:8" x14ac:dyDescent="0.25">
      <c r="A1031" s="76">
        <v>46262</v>
      </c>
      <c r="B1031" s="78">
        <v>2517</v>
      </c>
      <c r="C1031" s="78" t="s">
        <v>26</v>
      </c>
      <c r="D1031" t="s">
        <v>176</v>
      </c>
      <c r="E1031" s="77">
        <v>728700</v>
      </c>
      <c r="H1031">
        <v>14</v>
      </c>
    </row>
    <row r="1032" spans="1:8" hidden="1" x14ac:dyDescent="0.25">
      <c r="A1032" s="76">
        <v>46263</v>
      </c>
      <c r="B1032" s="78">
        <v>2588</v>
      </c>
      <c r="C1032" s="78" t="s">
        <v>26</v>
      </c>
      <c r="D1032" t="s">
        <v>201</v>
      </c>
      <c r="E1032" s="77">
        <v>792000</v>
      </c>
      <c r="F1032" s="77">
        <v>644303</v>
      </c>
      <c r="G1032" s="79">
        <v>45976</v>
      </c>
      <c r="H1032">
        <v>13</v>
      </c>
    </row>
    <row r="1033" spans="1:8" hidden="1" x14ac:dyDescent="0.25">
      <c r="A1033" s="76">
        <v>46263</v>
      </c>
      <c r="B1033" s="78">
        <v>912</v>
      </c>
      <c r="C1033" s="78" t="s">
        <v>240</v>
      </c>
      <c r="D1033" t="s">
        <v>241</v>
      </c>
      <c r="E1033" s="77">
        <v>605800</v>
      </c>
      <c r="F1033" s="77">
        <v>492800</v>
      </c>
      <c r="G1033" s="79">
        <v>45996</v>
      </c>
      <c r="H1033">
        <v>13</v>
      </c>
    </row>
    <row r="1034" spans="1:8" x14ac:dyDescent="0.25">
      <c r="A1034" s="76">
        <v>46262</v>
      </c>
      <c r="B1034" s="78">
        <v>2990</v>
      </c>
      <c r="C1034" s="78" t="s">
        <v>26</v>
      </c>
      <c r="D1034" t="s">
        <v>412</v>
      </c>
      <c r="E1034" s="77">
        <v>1028500</v>
      </c>
      <c r="H1034">
        <v>7</v>
      </c>
    </row>
    <row r="1035" spans="1:8" x14ac:dyDescent="0.25">
      <c r="A1035" s="76">
        <v>46262</v>
      </c>
      <c r="B1035" s="78">
        <v>3086</v>
      </c>
      <c r="C1035" s="78" t="s">
        <v>26</v>
      </c>
      <c r="D1035" t="s">
        <v>441</v>
      </c>
      <c r="E1035" s="77">
        <v>407700</v>
      </c>
      <c r="H1035">
        <v>6</v>
      </c>
    </row>
    <row r="1036" spans="1:8" x14ac:dyDescent="0.25">
      <c r="A1036" s="76">
        <v>46264</v>
      </c>
      <c r="B1036" s="78">
        <v>2674</v>
      </c>
      <c r="C1036" s="78" t="s">
        <v>26</v>
      </c>
      <c r="D1036" t="s">
        <v>238</v>
      </c>
      <c r="E1036" s="77">
        <v>1080900</v>
      </c>
      <c r="H1036">
        <v>12</v>
      </c>
    </row>
    <row r="1037" spans="1:8" x14ac:dyDescent="0.25">
      <c r="A1037" s="76">
        <v>46264</v>
      </c>
      <c r="B1037" s="78">
        <v>2936</v>
      </c>
      <c r="C1037" s="78" t="s">
        <v>26</v>
      </c>
      <c r="D1037" t="s">
        <v>372</v>
      </c>
      <c r="E1037" s="77">
        <v>488500</v>
      </c>
      <c r="H1037">
        <v>8</v>
      </c>
    </row>
    <row r="1038" spans="1:8" x14ac:dyDescent="0.25">
      <c r="A1038" s="76">
        <v>46264</v>
      </c>
      <c r="B1038" s="78">
        <v>3168</v>
      </c>
      <c r="C1038" s="78" t="s">
        <v>26</v>
      </c>
      <c r="D1038" t="s">
        <v>449</v>
      </c>
      <c r="E1038" s="77">
        <v>659900</v>
      </c>
      <c r="H1038">
        <v>5</v>
      </c>
    </row>
    <row r="1039" spans="1:8" x14ac:dyDescent="0.25">
      <c r="A1039" s="76">
        <v>46264</v>
      </c>
      <c r="B1039" s="78">
        <v>3172</v>
      </c>
      <c r="C1039" s="78" t="s">
        <v>26</v>
      </c>
      <c r="D1039" t="s">
        <v>451</v>
      </c>
      <c r="E1039" s="77">
        <v>645700</v>
      </c>
      <c r="H1039">
        <v>5</v>
      </c>
    </row>
    <row r="1040" spans="1:8" x14ac:dyDescent="0.25">
      <c r="A1040" s="76">
        <v>46264</v>
      </c>
      <c r="B1040" s="78">
        <v>62</v>
      </c>
      <c r="C1040" s="78" t="s">
        <v>26</v>
      </c>
      <c r="D1040" t="s">
        <v>526</v>
      </c>
      <c r="E1040" s="77">
        <v>1107200</v>
      </c>
      <c r="H1040">
        <v>4</v>
      </c>
    </row>
    <row r="1041" spans="1:8" x14ac:dyDescent="0.25">
      <c r="A1041" s="76">
        <v>46264</v>
      </c>
      <c r="B1041" s="78">
        <v>65</v>
      </c>
      <c r="C1041" s="78" t="s">
        <v>26</v>
      </c>
      <c r="D1041" t="s">
        <v>527</v>
      </c>
      <c r="E1041" s="77">
        <v>353500</v>
      </c>
      <c r="H1041">
        <v>4</v>
      </c>
    </row>
    <row r="1042" spans="1:8" x14ac:dyDescent="0.25">
      <c r="A1042" s="76">
        <v>46264</v>
      </c>
      <c r="B1042" s="78">
        <v>143</v>
      </c>
      <c r="C1042" s="78" t="s">
        <v>26</v>
      </c>
      <c r="D1042" t="s">
        <v>552</v>
      </c>
      <c r="E1042" s="77">
        <v>429700</v>
      </c>
      <c r="H1042">
        <v>3</v>
      </c>
    </row>
    <row r="1043" spans="1:8" x14ac:dyDescent="0.25">
      <c r="A1043" s="76">
        <v>46264</v>
      </c>
      <c r="B1043" s="78">
        <v>217</v>
      </c>
      <c r="C1043" s="78" t="s">
        <v>26</v>
      </c>
      <c r="D1043" t="s">
        <v>581</v>
      </c>
      <c r="E1043" s="77">
        <v>614700</v>
      </c>
      <c r="H1043">
        <v>2</v>
      </c>
    </row>
    <row r="1044" spans="1:8" x14ac:dyDescent="0.25">
      <c r="A1044" s="76">
        <v>46265</v>
      </c>
      <c r="B1044" s="78">
        <v>3007</v>
      </c>
      <c r="C1044" s="78" t="s">
        <v>26</v>
      </c>
      <c r="D1044" t="s">
        <v>428</v>
      </c>
      <c r="E1044" s="77">
        <v>861400</v>
      </c>
      <c r="H1044">
        <v>7</v>
      </c>
    </row>
    <row r="1045" spans="1:8" x14ac:dyDescent="0.25">
      <c r="A1045" s="76">
        <v>46265</v>
      </c>
      <c r="B1045" s="78">
        <v>3008</v>
      </c>
      <c r="C1045" s="78" t="s">
        <v>26</v>
      </c>
      <c r="D1045" t="s">
        <v>430</v>
      </c>
      <c r="E1045" s="77">
        <v>813500</v>
      </c>
      <c r="H1045">
        <v>7</v>
      </c>
    </row>
    <row r="1046" spans="1:8" x14ac:dyDescent="0.25">
      <c r="A1046" s="76">
        <v>46266</v>
      </c>
      <c r="B1046" s="78">
        <v>2311</v>
      </c>
      <c r="C1046" s="78" t="s">
        <v>26</v>
      </c>
      <c r="D1046" t="s">
        <v>93</v>
      </c>
      <c r="E1046" s="77">
        <v>418100</v>
      </c>
      <c r="H1046">
        <v>17</v>
      </c>
    </row>
    <row r="1047" spans="1:8" x14ac:dyDescent="0.25">
      <c r="A1047" s="76">
        <v>46266</v>
      </c>
      <c r="B1047" s="78">
        <v>2677</v>
      </c>
      <c r="C1047" s="78" t="s">
        <v>26</v>
      </c>
      <c r="D1047" t="s">
        <v>255</v>
      </c>
      <c r="E1047" s="77">
        <v>1033600</v>
      </c>
      <c r="H1047">
        <v>12</v>
      </c>
    </row>
    <row r="1048" spans="1:8" x14ac:dyDescent="0.25">
      <c r="A1048" s="76">
        <v>46267</v>
      </c>
      <c r="B1048" s="78">
        <v>154</v>
      </c>
      <c r="C1048" s="78" t="s">
        <v>26</v>
      </c>
      <c r="D1048" t="s">
        <v>553</v>
      </c>
      <c r="E1048" s="77">
        <v>379100</v>
      </c>
      <c r="H1048">
        <v>3</v>
      </c>
    </row>
    <row r="1049" spans="1:8" x14ac:dyDescent="0.25">
      <c r="A1049" s="76">
        <v>46268</v>
      </c>
      <c r="B1049" s="78">
        <v>2520</v>
      </c>
      <c r="C1049" s="78" t="s">
        <v>26</v>
      </c>
      <c r="D1049" t="s">
        <v>196</v>
      </c>
      <c r="E1049" s="77">
        <v>481700</v>
      </c>
      <c r="H1049">
        <v>14</v>
      </c>
    </row>
    <row r="1050" spans="1:8" x14ac:dyDescent="0.25">
      <c r="A1050" s="76">
        <v>46268</v>
      </c>
      <c r="B1050" s="78">
        <v>2847</v>
      </c>
      <c r="C1050" s="78" t="s">
        <v>26</v>
      </c>
      <c r="D1050" t="s">
        <v>330</v>
      </c>
      <c r="E1050" s="77">
        <v>419300</v>
      </c>
      <c r="H1050">
        <v>9</v>
      </c>
    </row>
    <row r="1051" spans="1:8" x14ac:dyDescent="0.25">
      <c r="A1051" s="76">
        <v>46269</v>
      </c>
      <c r="B1051" s="78">
        <v>2849</v>
      </c>
      <c r="C1051" s="78" t="s">
        <v>26</v>
      </c>
      <c r="D1051" t="s">
        <v>334</v>
      </c>
      <c r="E1051" s="77">
        <v>365300</v>
      </c>
      <c r="H1051">
        <v>9</v>
      </c>
    </row>
    <row r="1052" spans="1:8" x14ac:dyDescent="0.25">
      <c r="A1052" s="76">
        <v>46269</v>
      </c>
      <c r="B1052" s="78">
        <v>2850</v>
      </c>
      <c r="C1052" s="78" t="s">
        <v>26</v>
      </c>
      <c r="D1052" t="s">
        <v>332</v>
      </c>
      <c r="E1052" s="77">
        <v>615100</v>
      </c>
      <c r="H1052">
        <v>9</v>
      </c>
    </row>
    <row r="1053" spans="1:8" x14ac:dyDescent="0.25">
      <c r="A1053" s="76">
        <v>46269</v>
      </c>
      <c r="B1053" s="78">
        <v>2</v>
      </c>
      <c r="C1053" s="78" t="s">
        <v>26</v>
      </c>
      <c r="D1053" t="s">
        <v>457</v>
      </c>
      <c r="E1053" s="77">
        <v>614700</v>
      </c>
      <c r="H1053">
        <v>5</v>
      </c>
    </row>
    <row r="1054" spans="1:8" x14ac:dyDescent="0.25">
      <c r="A1054" s="76">
        <v>46270</v>
      </c>
      <c r="B1054" s="78">
        <v>3099</v>
      </c>
      <c r="C1054" s="78" t="s">
        <v>26</v>
      </c>
      <c r="D1054" t="s">
        <v>443</v>
      </c>
      <c r="E1054" s="77">
        <v>614700</v>
      </c>
      <c r="H1054">
        <v>6</v>
      </c>
    </row>
    <row r="1055" spans="1:8" x14ac:dyDescent="0.25">
      <c r="A1055" s="76">
        <v>46270</v>
      </c>
      <c r="B1055" s="78">
        <v>72</v>
      </c>
      <c r="C1055" s="78" t="s">
        <v>26</v>
      </c>
      <c r="D1055" t="s">
        <v>529</v>
      </c>
      <c r="E1055" s="77">
        <v>450400</v>
      </c>
      <c r="H1055">
        <v>4</v>
      </c>
    </row>
    <row r="1056" spans="1:8" x14ac:dyDescent="0.25">
      <c r="A1056" s="76">
        <v>46270</v>
      </c>
      <c r="B1056" s="78">
        <v>73</v>
      </c>
      <c r="C1056" s="78" t="s">
        <v>26</v>
      </c>
      <c r="D1056" t="s">
        <v>530</v>
      </c>
      <c r="E1056" s="77">
        <v>468900</v>
      </c>
      <c r="H1056">
        <v>4</v>
      </c>
    </row>
    <row r="1057" spans="1:8" x14ac:dyDescent="0.25">
      <c r="A1057" s="76">
        <v>46271</v>
      </c>
      <c r="B1057" s="78">
        <v>2858</v>
      </c>
      <c r="C1057" s="78" t="s">
        <v>26</v>
      </c>
      <c r="D1057" t="s">
        <v>336</v>
      </c>
      <c r="E1057" s="77">
        <v>779300</v>
      </c>
      <c r="H1057">
        <v>9</v>
      </c>
    </row>
    <row r="1058" spans="1:8" x14ac:dyDescent="0.25">
      <c r="A1058" s="76">
        <v>46271</v>
      </c>
      <c r="B1058" s="78">
        <v>2948</v>
      </c>
      <c r="C1058" s="78" t="s">
        <v>26</v>
      </c>
      <c r="D1058" t="s">
        <v>379</v>
      </c>
      <c r="E1058" s="77">
        <v>298000</v>
      </c>
      <c r="H1058">
        <v>8</v>
      </c>
    </row>
    <row r="1059" spans="1:8" x14ac:dyDescent="0.25">
      <c r="A1059" s="76">
        <v>46271</v>
      </c>
      <c r="B1059" s="78">
        <v>5</v>
      </c>
      <c r="C1059" s="78" t="s">
        <v>26</v>
      </c>
      <c r="D1059" t="s">
        <v>461</v>
      </c>
      <c r="E1059" s="77">
        <v>714200</v>
      </c>
      <c r="H1059">
        <v>5</v>
      </c>
    </row>
    <row r="1060" spans="1:8" x14ac:dyDescent="0.25">
      <c r="A1060" s="76">
        <v>46271</v>
      </c>
      <c r="B1060" s="78">
        <v>157</v>
      </c>
      <c r="C1060" s="78" t="s">
        <v>26</v>
      </c>
      <c r="D1060" t="s">
        <v>569</v>
      </c>
      <c r="E1060" s="77">
        <v>1850200</v>
      </c>
      <c r="H1060">
        <v>3</v>
      </c>
    </row>
    <row r="1061" spans="1:8" x14ac:dyDescent="0.25">
      <c r="A1061" s="76">
        <v>46271</v>
      </c>
      <c r="B1061" s="78">
        <v>232</v>
      </c>
      <c r="C1061" s="78" t="s">
        <v>26</v>
      </c>
      <c r="D1061" t="s">
        <v>591</v>
      </c>
      <c r="E1061" s="77">
        <v>892100</v>
      </c>
      <c r="H1061">
        <v>2</v>
      </c>
    </row>
    <row r="1062" spans="1:8" x14ac:dyDescent="0.25">
      <c r="A1062" s="76">
        <v>46272</v>
      </c>
      <c r="B1062" s="78">
        <v>78</v>
      </c>
      <c r="C1062" s="78" t="s">
        <v>26</v>
      </c>
      <c r="D1062" t="s">
        <v>531</v>
      </c>
      <c r="E1062" s="77">
        <v>614700</v>
      </c>
      <c r="H1062">
        <v>4</v>
      </c>
    </row>
    <row r="1063" spans="1:8" hidden="1" x14ac:dyDescent="0.25">
      <c r="A1063" s="76">
        <v>46273</v>
      </c>
      <c r="B1063" s="78">
        <v>2860</v>
      </c>
      <c r="C1063" s="78" t="s">
        <v>26</v>
      </c>
      <c r="D1063" t="s">
        <v>338</v>
      </c>
      <c r="E1063" s="77">
        <v>1218500</v>
      </c>
      <c r="F1063" s="77">
        <v>1061873</v>
      </c>
      <c r="G1063" s="79">
        <v>46191</v>
      </c>
      <c r="H1063">
        <v>9</v>
      </c>
    </row>
    <row r="1064" spans="1:8" x14ac:dyDescent="0.25">
      <c r="A1064" s="76">
        <v>46273</v>
      </c>
      <c r="B1064" s="78">
        <v>80</v>
      </c>
      <c r="C1064" s="78" t="s">
        <v>26</v>
      </c>
      <c r="D1064" t="s">
        <v>532</v>
      </c>
      <c r="E1064" s="77">
        <v>134100</v>
      </c>
      <c r="H1064">
        <v>4</v>
      </c>
    </row>
    <row r="1065" spans="1:8" x14ac:dyDescent="0.25">
      <c r="A1065" s="76">
        <v>46274</v>
      </c>
      <c r="B1065" s="78">
        <v>883</v>
      </c>
      <c r="C1065" s="78" t="s">
        <v>240</v>
      </c>
      <c r="D1065" t="s">
        <v>243</v>
      </c>
      <c r="E1065" s="77">
        <v>287300</v>
      </c>
      <c r="H1065">
        <v>14</v>
      </c>
    </row>
    <row r="1066" spans="1:8" x14ac:dyDescent="0.25">
      <c r="A1066" s="76">
        <v>46274</v>
      </c>
      <c r="B1066" s="78">
        <v>2861</v>
      </c>
      <c r="C1066" s="78" t="s">
        <v>26</v>
      </c>
      <c r="D1066" t="s">
        <v>340</v>
      </c>
      <c r="E1066" s="77">
        <v>308200</v>
      </c>
      <c r="H1066">
        <v>9</v>
      </c>
    </row>
    <row r="1067" spans="1:8" x14ac:dyDescent="0.25">
      <c r="A1067" s="76">
        <v>46275</v>
      </c>
      <c r="B1067" s="78">
        <v>2399</v>
      </c>
      <c r="C1067" s="78" t="s">
        <v>26</v>
      </c>
      <c r="D1067" t="s">
        <v>121</v>
      </c>
      <c r="E1067" s="77">
        <v>564700</v>
      </c>
      <c r="H1067">
        <v>16</v>
      </c>
    </row>
    <row r="1068" spans="1:8" x14ac:dyDescent="0.25">
      <c r="A1068" s="76">
        <v>46276</v>
      </c>
      <c r="B1068" s="78">
        <v>86</v>
      </c>
      <c r="C1068" s="78" t="s">
        <v>26</v>
      </c>
      <c r="D1068" t="s">
        <v>534</v>
      </c>
      <c r="E1068" s="77">
        <v>1021400</v>
      </c>
      <c r="H1068">
        <v>4</v>
      </c>
    </row>
    <row r="1069" spans="1:8" x14ac:dyDescent="0.25">
      <c r="A1069" s="76">
        <v>46279</v>
      </c>
      <c r="B1069" s="78">
        <v>2405</v>
      </c>
      <c r="C1069" s="78" t="s">
        <v>26</v>
      </c>
      <c r="D1069" t="s">
        <v>129</v>
      </c>
      <c r="E1069" s="77">
        <v>418100</v>
      </c>
      <c r="H1069">
        <v>16</v>
      </c>
    </row>
    <row r="1070" spans="1:8" x14ac:dyDescent="0.25">
      <c r="A1070" s="76">
        <v>46281</v>
      </c>
      <c r="B1070" s="78">
        <v>2878</v>
      </c>
      <c r="C1070" s="78" t="s">
        <v>26</v>
      </c>
      <c r="D1070" t="s">
        <v>361</v>
      </c>
      <c r="E1070" s="77">
        <v>965900</v>
      </c>
      <c r="H1070">
        <v>9</v>
      </c>
    </row>
    <row r="1071" spans="1:8" x14ac:dyDescent="0.25">
      <c r="A1071" s="76">
        <v>46282</v>
      </c>
      <c r="B1071" s="78">
        <v>2566</v>
      </c>
      <c r="C1071" s="78" t="s">
        <v>26</v>
      </c>
      <c r="D1071" t="s">
        <v>200</v>
      </c>
      <c r="E1071" s="77">
        <v>790200</v>
      </c>
      <c r="H1071">
        <v>14</v>
      </c>
    </row>
    <row r="1072" spans="1:8" x14ac:dyDescent="0.25">
      <c r="A1072" s="76">
        <v>46282</v>
      </c>
      <c r="B1072" s="78">
        <v>2967</v>
      </c>
      <c r="C1072" s="78" t="s">
        <v>26</v>
      </c>
      <c r="D1072" t="s">
        <v>396</v>
      </c>
      <c r="E1072" s="77">
        <v>989800</v>
      </c>
      <c r="H1072">
        <v>8</v>
      </c>
    </row>
    <row r="1073" spans="1:8" x14ac:dyDescent="0.25">
      <c r="A1073" s="76">
        <v>46282</v>
      </c>
      <c r="B1073" s="78">
        <v>2968</v>
      </c>
      <c r="C1073" s="78" t="s">
        <v>26</v>
      </c>
      <c r="D1073" t="s">
        <v>398</v>
      </c>
      <c r="E1073" s="77">
        <v>452200</v>
      </c>
      <c r="H1073">
        <v>8</v>
      </c>
    </row>
    <row r="1074" spans="1:8" x14ac:dyDescent="0.25">
      <c r="A1074" s="76">
        <v>46283</v>
      </c>
      <c r="B1074" s="78">
        <v>2493</v>
      </c>
      <c r="C1074" s="78" t="s">
        <v>26</v>
      </c>
      <c r="D1074" t="s">
        <v>166</v>
      </c>
      <c r="E1074" s="77">
        <v>328300</v>
      </c>
      <c r="H1074">
        <v>15</v>
      </c>
    </row>
    <row r="1075" spans="1:8" x14ac:dyDescent="0.25">
      <c r="A1075" s="76">
        <v>46283</v>
      </c>
      <c r="B1075" s="78">
        <v>3060</v>
      </c>
      <c r="C1075" s="78" t="s">
        <v>26</v>
      </c>
      <c r="D1075" t="s">
        <v>432</v>
      </c>
      <c r="E1075" s="77">
        <v>623600</v>
      </c>
      <c r="H1075">
        <v>7</v>
      </c>
    </row>
    <row r="1076" spans="1:8" x14ac:dyDescent="0.25">
      <c r="A1076" s="76">
        <v>46283</v>
      </c>
      <c r="B1076" s="78">
        <v>31</v>
      </c>
      <c r="C1076" s="78" t="s">
        <v>26</v>
      </c>
      <c r="D1076" t="s">
        <v>501</v>
      </c>
      <c r="E1076" s="77">
        <v>581500</v>
      </c>
      <c r="H1076">
        <v>5</v>
      </c>
    </row>
    <row r="1077" spans="1:8" x14ac:dyDescent="0.25">
      <c r="A1077" s="76">
        <v>46283</v>
      </c>
      <c r="B1077" s="78">
        <v>32</v>
      </c>
      <c r="C1077" s="78" t="s">
        <v>26</v>
      </c>
      <c r="D1077" t="s">
        <v>503</v>
      </c>
      <c r="E1077" s="77">
        <v>252500</v>
      </c>
      <c r="H1077">
        <v>5</v>
      </c>
    </row>
    <row r="1078" spans="1:8" x14ac:dyDescent="0.25">
      <c r="A1078" s="76">
        <v>46284</v>
      </c>
      <c r="B1078" s="78">
        <v>2494</v>
      </c>
      <c r="C1078" s="78" t="s">
        <v>26</v>
      </c>
      <c r="D1078" t="s">
        <v>168</v>
      </c>
      <c r="E1078" s="77">
        <v>425600</v>
      </c>
      <c r="H1078">
        <v>15</v>
      </c>
    </row>
    <row r="1079" spans="1:8" x14ac:dyDescent="0.25">
      <c r="A1079" s="76">
        <v>46284</v>
      </c>
      <c r="B1079" s="78">
        <v>2637</v>
      </c>
      <c r="C1079" s="78" t="s">
        <v>26</v>
      </c>
      <c r="D1079" t="s">
        <v>221</v>
      </c>
      <c r="E1079" s="77">
        <v>663300</v>
      </c>
      <c r="H1079">
        <v>13</v>
      </c>
    </row>
    <row r="1080" spans="1:8" x14ac:dyDescent="0.25">
      <c r="A1080" s="76">
        <v>46284</v>
      </c>
      <c r="B1080" s="78">
        <v>2810</v>
      </c>
      <c r="C1080" s="78" t="s">
        <v>26</v>
      </c>
      <c r="D1080" t="s">
        <v>318</v>
      </c>
      <c r="E1080" s="77">
        <v>557500</v>
      </c>
      <c r="H1080">
        <v>10</v>
      </c>
    </row>
    <row r="1081" spans="1:8" x14ac:dyDescent="0.25">
      <c r="A1081" s="76">
        <v>46284</v>
      </c>
      <c r="B1081" s="78">
        <v>1110</v>
      </c>
      <c r="C1081" s="78" t="s">
        <v>240</v>
      </c>
      <c r="D1081" t="s">
        <v>419</v>
      </c>
      <c r="E1081" s="77">
        <v>751300</v>
      </c>
      <c r="H1081">
        <v>8</v>
      </c>
    </row>
    <row r="1082" spans="1:8" x14ac:dyDescent="0.25">
      <c r="A1082" s="76">
        <v>46284</v>
      </c>
      <c r="B1082" s="78">
        <v>3062</v>
      </c>
      <c r="C1082" s="78" t="s">
        <v>26</v>
      </c>
      <c r="D1082" t="s">
        <v>435</v>
      </c>
      <c r="E1082" s="77">
        <v>452200</v>
      </c>
      <c r="H1082">
        <v>7</v>
      </c>
    </row>
    <row r="1083" spans="1:8" hidden="1" x14ac:dyDescent="0.25">
      <c r="A1083" s="76">
        <v>46285</v>
      </c>
      <c r="B1083" s="78">
        <v>2498</v>
      </c>
      <c r="C1083" s="78" t="s">
        <v>26</v>
      </c>
      <c r="D1083" t="s">
        <v>153</v>
      </c>
      <c r="E1083" s="77">
        <v>904200</v>
      </c>
      <c r="F1083" s="77">
        <v>787951</v>
      </c>
      <c r="G1083" s="79">
        <v>46112</v>
      </c>
      <c r="H1083">
        <v>15</v>
      </c>
    </row>
    <row r="1084" spans="1:8" x14ac:dyDescent="0.25">
      <c r="A1084" s="76">
        <v>46285</v>
      </c>
      <c r="B1084" s="78">
        <v>2640</v>
      </c>
      <c r="C1084" s="78" t="s">
        <v>26</v>
      </c>
      <c r="D1084" t="s">
        <v>234</v>
      </c>
      <c r="E1084" s="77">
        <v>789900</v>
      </c>
      <c r="H1084">
        <v>13</v>
      </c>
    </row>
    <row r="1085" spans="1:8" x14ac:dyDescent="0.25">
      <c r="A1085" s="76">
        <v>46285</v>
      </c>
      <c r="B1085" s="78">
        <v>2973</v>
      </c>
      <c r="C1085" s="78" t="s">
        <v>26</v>
      </c>
      <c r="D1085" t="s">
        <v>400</v>
      </c>
      <c r="E1085" s="77">
        <v>696400</v>
      </c>
      <c r="H1085">
        <v>8</v>
      </c>
    </row>
    <row r="1086" spans="1:8" x14ac:dyDescent="0.25">
      <c r="A1086" s="76">
        <v>46285</v>
      </c>
      <c r="B1086" s="78">
        <v>3068</v>
      </c>
      <c r="C1086" s="78" t="s">
        <v>26</v>
      </c>
      <c r="D1086" t="s">
        <v>437</v>
      </c>
      <c r="E1086" s="77">
        <v>450400</v>
      </c>
      <c r="H1086">
        <v>7</v>
      </c>
    </row>
    <row r="1087" spans="1:8" x14ac:dyDescent="0.25">
      <c r="A1087" s="76">
        <v>46286</v>
      </c>
      <c r="B1087" s="78">
        <v>2344</v>
      </c>
      <c r="C1087" s="78" t="s">
        <v>26</v>
      </c>
      <c r="D1087" t="s">
        <v>109</v>
      </c>
      <c r="E1087" s="77">
        <v>317700</v>
      </c>
      <c r="H1087">
        <v>17</v>
      </c>
    </row>
    <row r="1088" spans="1:8" x14ac:dyDescent="0.25">
      <c r="A1088" s="76">
        <v>46286</v>
      </c>
      <c r="B1088" s="78">
        <v>2500</v>
      </c>
      <c r="C1088" s="78" t="s">
        <v>26</v>
      </c>
      <c r="D1088" t="s">
        <v>155</v>
      </c>
      <c r="E1088" s="77">
        <v>600000</v>
      </c>
      <c r="H1088">
        <v>15</v>
      </c>
    </row>
    <row r="1089" spans="1:8" hidden="1" x14ac:dyDescent="0.25">
      <c r="A1089" s="76">
        <v>46286</v>
      </c>
      <c r="B1089" s="78">
        <v>2501</v>
      </c>
      <c r="C1089" s="78" t="s">
        <v>26</v>
      </c>
      <c r="D1089" t="s">
        <v>157</v>
      </c>
      <c r="E1089" s="77">
        <v>325300</v>
      </c>
      <c r="F1089" s="77">
        <v>283440</v>
      </c>
      <c r="G1089" s="79">
        <v>46112</v>
      </c>
      <c r="H1089">
        <v>15</v>
      </c>
    </row>
    <row r="1090" spans="1:8" x14ac:dyDescent="0.25">
      <c r="A1090" s="76">
        <v>46286</v>
      </c>
      <c r="B1090" s="78">
        <v>1112</v>
      </c>
      <c r="C1090" s="78" t="s">
        <v>240</v>
      </c>
      <c r="D1090" t="s">
        <v>467</v>
      </c>
      <c r="E1090" s="77">
        <v>649000</v>
      </c>
      <c r="H1090">
        <v>8</v>
      </c>
    </row>
    <row r="1091" spans="1:8" x14ac:dyDescent="0.25">
      <c r="A1091" s="76">
        <v>46287</v>
      </c>
      <c r="B1091" s="78">
        <v>2346</v>
      </c>
      <c r="C1091" s="78" t="s">
        <v>26</v>
      </c>
      <c r="D1091" t="s">
        <v>111</v>
      </c>
      <c r="E1091" s="77">
        <v>656200</v>
      </c>
      <c r="H1091">
        <v>17</v>
      </c>
    </row>
    <row r="1092" spans="1:8" hidden="1" x14ac:dyDescent="0.25">
      <c r="A1092" s="76">
        <v>46288</v>
      </c>
      <c r="B1092" s="78">
        <v>2348</v>
      </c>
      <c r="C1092" s="78" t="s">
        <v>26</v>
      </c>
      <c r="D1092" t="s">
        <v>113</v>
      </c>
      <c r="E1092" s="77">
        <v>393500</v>
      </c>
      <c r="F1092" s="77">
        <v>367327</v>
      </c>
      <c r="G1092" s="79">
        <v>45891</v>
      </c>
      <c r="H1092">
        <v>17</v>
      </c>
    </row>
    <row r="1093" spans="1:8" x14ac:dyDescent="0.25">
      <c r="A1093" s="76">
        <v>46287</v>
      </c>
      <c r="B1093" s="78">
        <v>117</v>
      </c>
      <c r="C1093" s="78" t="s">
        <v>26</v>
      </c>
      <c r="D1093" t="s">
        <v>545</v>
      </c>
      <c r="E1093" s="77">
        <v>1030700</v>
      </c>
      <c r="H1093">
        <v>4</v>
      </c>
    </row>
    <row r="1094" spans="1:8" x14ac:dyDescent="0.25">
      <c r="A1094" s="76">
        <v>46288</v>
      </c>
      <c r="B1094" s="78">
        <v>45</v>
      </c>
      <c r="C1094" s="78" t="s">
        <v>26</v>
      </c>
      <c r="D1094" t="s">
        <v>519</v>
      </c>
      <c r="E1094" s="77">
        <v>658800</v>
      </c>
      <c r="H1094">
        <v>5</v>
      </c>
    </row>
    <row r="1095" spans="1:8" x14ac:dyDescent="0.25">
      <c r="A1095" s="76">
        <v>46288</v>
      </c>
      <c r="B1095" s="78">
        <v>47</v>
      </c>
      <c r="C1095" s="78" t="s">
        <v>26</v>
      </c>
      <c r="D1095" t="s">
        <v>522</v>
      </c>
      <c r="E1095" s="77">
        <v>304200</v>
      </c>
      <c r="H1095">
        <v>5</v>
      </c>
    </row>
    <row r="1096" spans="1:8" x14ac:dyDescent="0.25">
      <c r="A1096" s="76">
        <v>46288</v>
      </c>
      <c r="B1096" s="78">
        <v>119</v>
      </c>
      <c r="C1096" s="78" t="s">
        <v>26</v>
      </c>
      <c r="D1096" t="s">
        <v>546</v>
      </c>
      <c r="E1096" s="77">
        <v>803800</v>
      </c>
      <c r="H1096">
        <v>4</v>
      </c>
    </row>
    <row r="1097" spans="1:8" x14ac:dyDescent="0.25">
      <c r="A1097" s="76">
        <v>46289</v>
      </c>
      <c r="B1097" s="78">
        <v>2431</v>
      </c>
      <c r="C1097" s="78" t="s">
        <v>26</v>
      </c>
      <c r="D1097" t="s">
        <v>149</v>
      </c>
      <c r="E1097" s="77">
        <v>313900</v>
      </c>
      <c r="H1097">
        <v>16</v>
      </c>
    </row>
    <row r="1098" spans="1:8" x14ac:dyDescent="0.25">
      <c r="A1098" s="76">
        <v>46289</v>
      </c>
      <c r="B1098" s="78">
        <v>2817</v>
      </c>
      <c r="C1098" s="78" t="s">
        <v>26</v>
      </c>
      <c r="D1098" t="s">
        <v>320</v>
      </c>
      <c r="E1098" s="77">
        <v>841000</v>
      </c>
      <c r="H1098">
        <v>10</v>
      </c>
    </row>
    <row r="1099" spans="1:8" x14ac:dyDescent="0.25">
      <c r="A1099" s="76">
        <v>46289</v>
      </c>
      <c r="B1099" s="78">
        <v>2913</v>
      </c>
      <c r="C1099" s="78" t="s">
        <v>26</v>
      </c>
      <c r="D1099" t="s">
        <v>365</v>
      </c>
      <c r="E1099" s="77">
        <v>588800</v>
      </c>
      <c r="H1099">
        <v>9</v>
      </c>
    </row>
    <row r="1100" spans="1:8" x14ac:dyDescent="0.25">
      <c r="A1100" s="76">
        <v>46290</v>
      </c>
      <c r="B1100" s="78">
        <v>2511</v>
      </c>
      <c r="C1100" s="78" t="s">
        <v>26</v>
      </c>
      <c r="D1100" t="s">
        <v>171</v>
      </c>
      <c r="E1100" s="77">
        <v>712300</v>
      </c>
      <c r="H1100">
        <v>15</v>
      </c>
    </row>
    <row r="1101" spans="1:8" hidden="1" x14ac:dyDescent="0.25">
      <c r="A1101" s="76">
        <v>46290</v>
      </c>
      <c r="B1101" s="78">
        <v>2825</v>
      </c>
      <c r="C1101" s="78" t="s">
        <v>26</v>
      </c>
      <c r="D1101" t="s">
        <v>322</v>
      </c>
      <c r="E1101" s="77">
        <v>619100</v>
      </c>
      <c r="F1101" s="77">
        <v>619100</v>
      </c>
      <c r="G1101" s="79">
        <v>46174</v>
      </c>
      <c r="H1101">
        <v>10</v>
      </c>
    </row>
    <row r="1102" spans="1:8" x14ac:dyDescent="0.25">
      <c r="A1102" s="76">
        <v>46290</v>
      </c>
      <c r="B1102" s="78">
        <v>2828</v>
      </c>
      <c r="C1102" s="78" t="s">
        <v>26</v>
      </c>
      <c r="D1102" t="s">
        <v>309</v>
      </c>
      <c r="E1102" s="77">
        <v>441300</v>
      </c>
      <c r="H1102">
        <v>10</v>
      </c>
    </row>
    <row r="1103" spans="1:8" x14ac:dyDescent="0.25">
      <c r="A1103" s="76">
        <v>46290</v>
      </c>
      <c r="B1103" s="78">
        <v>3151</v>
      </c>
      <c r="C1103" s="78" t="s">
        <v>26</v>
      </c>
      <c r="D1103" t="s">
        <v>444</v>
      </c>
      <c r="E1103" s="77">
        <v>614700</v>
      </c>
      <c r="H1103">
        <v>6</v>
      </c>
    </row>
    <row r="1104" spans="1:8" x14ac:dyDescent="0.25">
      <c r="A1104" s="76">
        <v>46290</v>
      </c>
      <c r="B1104" s="78">
        <v>51</v>
      </c>
      <c r="C1104" s="78" t="s">
        <v>26</v>
      </c>
      <c r="D1104" t="s">
        <v>523</v>
      </c>
      <c r="E1104" s="77">
        <v>242200</v>
      </c>
      <c r="H1104">
        <v>5</v>
      </c>
    </row>
    <row r="1105" spans="1:8" x14ac:dyDescent="0.25">
      <c r="A1105" s="76">
        <v>46290</v>
      </c>
      <c r="B1105" s="78">
        <v>122</v>
      </c>
      <c r="C1105" s="78" t="s">
        <v>26</v>
      </c>
      <c r="D1105" t="s">
        <v>547</v>
      </c>
      <c r="E1105" s="77">
        <v>511200</v>
      </c>
      <c r="H1105">
        <v>4</v>
      </c>
    </row>
    <row r="1106" spans="1:8" x14ac:dyDescent="0.25">
      <c r="A1106" s="76">
        <v>46290</v>
      </c>
      <c r="B1106" s="78">
        <v>123</v>
      </c>
      <c r="C1106" s="78" t="s">
        <v>26</v>
      </c>
      <c r="D1106" t="s">
        <v>548</v>
      </c>
      <c r="E1106" s="77">
        <v>407700</v>
      </c>
      <c r="H1106">
        <v>4</v>
      </c>
    </row>
    <row r="1107" spans="1:8" x14ac:dyDescent="0.25">
      <c r="A1107" s="76">
        <v>46291</v>
      </c>
      <c r="B1107" s="78">
        <v>2290</v>
      </c>
      <c r="C1107" s="78" t="s">
        <v>26</v>
      </c>
      <c r="D1107" t="s">
        <v>95</v>
      </c>
      <c r="E1107" s="77">
        <v>629900</v>
      </c>
      <c r="H1107">
        <v>18</v>
      </c>
    </row>
    <row r="1108" spans="1:8" x14ac:dyDescent="0.25">
      <c r="A1108" s="76">
        <v>46291</v>
      </c>
      <c r="B1108" s="78">
        <v>2515</v>
      </c>
      <c r="C1108" s="78" t="s">
        <v>26</v>
      </c>
      <c r="D1108" t="s">
        <v>174</v>
      </c>
      <c r="E1108" s="77">
        <v>804500</v>
      </c>
      <c r="H1108">
        <v>15</v>
      </c>
    </row>
    <row r="1109" spans="1:8" hidden="1" x14ac:dyDescent="0.25">
      <c r="A1109" s="76">
        <v>46291</v>
      </c>
      <c r="B1109" s="78">
        <v>2919</v>
      </c>
      <c r="C1109" s="78" t="s">
        <v>26</v>
      </c>
      <c r="D1109" t="s">
        <v>369</v>
      </c>
      <c r="E1109" s="77">
        <v>440800</v>
      </c>
      <c r="F1109" s="77">
        <v>440800</v>
      </c>
      <c r="G1109" s="79">
        <v>46160</v>
      </c>
      <c r="H1109">
        <v>9</v>
      </c>
    </row>
    <row r="1110" spans="1:8" x14ac:dyDescent="0.25">
      <c r="A1110" s="76">
        <v>46291</v>
      </c>
      <c r="B1110" s="78">
        <v>3157</v>
      </c>
      <c r="C1110" s="78" t="s">
        <v>26</v>
      </c>
      <c r="D1110" t="s">
        <v>447</v>
      </c>
      <c r="E1110" s="77">
        <v>407700</v>
      </c>
      <c r="H1110">
        <v>6</v>
      </c>
    </row>
    <row r="1111" spans="1:8" x14ac:dyDescent="0.25">
      <c r="A1111" s="76">
        <v>46291</v>
      </c>
      <c r="B1111" s="78">
        <v>125</v>
      </c>
      <c r="C1111" s="78" t="s">
        <v>26</v>
      </c>
      <c r="D1111" t="s">
        <v>549</v>
      </c>
      <c r="E1111" s="77">
        <v>922100</v>
      </c>
      <c r="H1111">
        <v>4</v>
      </c>
    </row>
    <row r="1112" spans="1:8" x14ac:dyDescent="0.25">
      <c r="A1112" s="76">
        <v>46291</v>
      </c>
      <c r="B1112" s="78">
        <v>128</v>
      </c>
      <c r="C1112" s="78" t="s">
        <v>26</v>
      </c>
      <c r="D1112" t="s">
        <v>550</v>
      </c>
      <c r="E1112" s="77">
        <v>792800</v>
      </c>
      <c r="H1112">
        <v>4</v>
      </c>
    </row>
    <row r="1113" spans="1:8" x14ac:dyDescent="0.25">
      <c r="A1113" s="76">
        <v>46292</v>
      </c>
      <c r="B1113" s="78">
        <v>2768</v>
      </c>
      <c r="C1113" s="78" t="s">
        <v>26</v>
      </c>
      <c r="D1113" t="s">
        <v>295</v>
      </c>
      <c r="E1113" s="77">
        <v>537100</v>
      </c>
      <c r="H1113">
        <v>11</v>
      </c>
    </row>
    <row r="1114" spans="1:8" x14ac:dyDescent="0.25">
      <c r="A1114" s="76">
        <v>46292</v>
      </c>
      <c r="B1114" s="78">
        <v>3082</v>
      </c>
      <c r="C1114" s="78" t="s">
        <v>26</v>
      </c>
      <c r="D1114" t="s">
        <v>439</v>
      </c>
      <c r="E1114" s="77">
        <v>672000</v>
      </c>
      <c r="H1114">
        <v>7</v>
      </c>
    </row>
    <row r="1115" spans="1:8" x14ac:dyDescent="0.25">
      <c r="A1115" s="76">
        <v>46293</v>
      </c>
      <c r="B1115" s="78">
        <v>2517</v>
      </c>
      <c r="C1115" s="78" t="s">
        <v>26</v>
      </c>
      <c r="D1115" t="s">
        <v>176</v>
      </c>
      <c r="E1115" s="77">
        <v>728700</v>
      </c>
      <c r="H1115">
        <v>15</v>
      </c>
    </row>
    <row r="1116" spans="1:8" hidden="1" x14ac:dyDescent="0.25">
      <c r="A1116" s="76">
        <v>46294</v>
      </c>
      <c r="B1116" s="78">
        <v>2588</v>
      </c>
      <c r="C1116" s="78" t="s">
        <v>26</v>
      </c>
      <c r="D1116" t="s">
        <v>201</v>
      </c>
      <c r="E1116" s="77">
        <v>792000</v>
      </c>
      <c r="F1116" s="77">
        <v>666854</v>
      </c>
      <c r="G1116" s="79">
        <v>45976</v>
      </c>
      <c r="H1116">
        <v>14</v>
      </c>
    </row>
    <row r="1117" spans="1:8" hidden="1" x14ac:dyDescent="0.25">
      <c r="A1117" s="76">
        <v>46294</v>
      </c>
      <c r="B1117" s="78">
        <v>912</v>
      </c>
      <c r="C1117" s="78" t="s">
        <v>240</v>
      </c>
      <c r="D1117" t="s">
        <v>241</v>
      </c>
      <c r="E1117" s="77">
        <v>605800</v>
      </c>
      <c r="F1117" s="77">
        <v>510048</v>
      </c>
      <c r="G1117" s="79">
        <v>45996</v>
      </c>
      <c r="H1117">
        <v>14</v>
      </c>
    </row>
    <row r="1118" spans="1:8" x14ac:dyDescent="0.25">
      <c r="A1118" s="76">
        <v>46293</v>
      </c>
      <c r="B1118" s="78">
        <v>2990</v>
      </c>
      <c r="C1118" s="78" t="s">
        <v>26</v>
      </c>
      <c r="D1118" t="s">
        <v>412</v>
      </c>
      <c r="E1118" s="77">
        <v>1028500</v>
      </c>
      <c r="H1118">
        <v>8</v>
      </c>
    </row>
    <row r="1119" spans="1:8" x14ac:dyDescent="0.25">
      <c r="A1119" s="76">
        <v>46293</v>
      </c>
      <c r="B1119" s="78">
        <v>3086</v>
      </c>
      <c r="C1119" s="78" t="s">
        <v>26</v>
      </c>
      <c r="D1119" t="s">
        <v>441</v>
      </c>
      <c r="E1119" s="77">
        <v>407700</v>
      </c>
      <c r="H1119">
        <v>7</v>
      </c>
    </row>
    <row r="1120" spans="1:8" x14ac:dyDescent="0.25">
      <c r="A1120" s="76">
        <v>46295</v>
      </c>
      <c r="B1120" s="78">
        <v>2936</v>
      </c>
      <c r="C1120" s="78" t="s">
        <v>26</v>
      </c>
      <c r="D1120" t="s">
        <v>372</v>
      </c>
      <c r="E1120" s="77">
        <v>488500</v>
      </c>
      <c r="H1120">
        <v>9</v>
      </c>
    </row>
    <row r="1121" spans="1:8" x14ac:dyDescent="0.25">
      <c r="A1121" s="76">
        <v>46295</v>
      </c>
      <c r="B1121" s="78">
        <v>3007</v>
      </c>
      <c r="C1121" s="78" t="s">
        <v>26</v>
      </c>
      <c r="D1121" t="s">
        <v>428</v>
      </c>
      <c r="E1121" s="77">
        <v>861400</v>
      </c>
      <c r="H1121">
        <v>8</v>
      </c>
    </row>
    <row r="1122" spans="1:8" x14ac:dyDescent="0.25">
      <c r="A1122" s="76">
        <v>46295</v>
      </c>
      <c r="B1122" s="78">
        <v>3008</v>
      </c>
      <c r="C1122" s="78" t="s">
        <v>26</v>
      </c>
      <c r="D1122" t="s">
        <v>430</v>
      </c>
      <c r="E1122" s="77">
        <v>813500</v>
      </c>
      <c r="H1122">
        <v>8</v>
      </c>
    </row>
    <row r="1123" spans="1:8" x14ac:dyDescent="0.25">
      <c r="A1123" s="76">
        <v>46295</v>
      </c>
      <c r="B1123" s="78">
        <v>3168</v>
      </c>
      <c r="C1123" s="78" t="s">
        <v>26</v>
      </c>
      <c r="D1123" t="s">
        <v>449</v>
      </c>
      <c r="E1123" s="77">
        <v>659900</v>
      </c>
      <c r="H1123">
        <v>6</v>
      </c>
    </row>
    <row r="1124" spans="1:8" x14ac:dyDescent="0.25">
      <c r="A1124" s="76">
        <v>46295</v>
      </c>
      <c r="B1124" s="78">
        <v>3172</v>
      </c>
      <c r="C1124" s="78" t="s">
        <v>26</v>
      </c>
      <c r="D1124" t="s">
        <v>451</v>
      </c>
      <c r="E1124" s="77">
        <v>645700</v>
      </c>
      <c r="H1124">
        <v>6</v>
      </c>
    </row>
    <row r="1125" spans="1:8" x14ac:dyDescent="0.25">
      <c r="A1125" s="76">
        <v>46295</v>
      </c>
      <c r="B1125" s="78">
        <v>62</v>
      </c>
      <c r="C1125" s="78" t="s">
        <v>26</v>
      </c>
      <c r="D1125" t="s">
        <v>526</v>
      </c>
      <c r="E1125" s="77">
        <v>1107200</v>
      </c>
      <c r="H1125">
        <v>5</v>
      </c>
    </row>
    <row r="1126" spans="1:8" x14ac:dyDescent="0.25">
      <c r="A1126" s="76">
        <v>46295</v>
      </c>
      <c r="B1126" s="78">
        <v>65</v>
      </c>
      <c r="C1126" s="78" t="s">
        <v>26</v>
      </c>
      <c r="D1126" t="s">
        <v>527</v>
      </c>
      <c r="E1126" s="77">
        <v>353500</v>
      </c>
      <c r="H1126">
        <v>5</v>
      </c>
    </row>
    <row r="1127" spans="1:8" x14ac:dyDescent="0.25">
      <c r="A1127" s="76">
        <v>46295</v>
      </c>
      <c r="B1127" s="78">
        <v>143</v>
      </c>
      <c r="C1127" s="78" t="s">
        <v>26</v>
      </c>
      <c r="D1127" t="s">
        <v>552</v>
      </c>
      <c r="E1127" s="77">
        <v>429700</v>
      </c>
      <c r="H1127">
        <v>4</v>
      </c>
    </row>
    <row r="1128" spans="1:8" x14ac:dyDescent="0.25">
      <c r="A1128" s="76">
        <v>46295</v>
      </c>
      <c r="B1128" s="78">
        <v>217</v>
      </c>
      <c r="C1128" s="78" t="s">
        <v>26</v>
      </c>
      <c r="D1128" t="s">
        <v>581</v>
      </c>
      <c r="E1128" s="77">
        <v>614700</v>
      </c>
      <c r="H1128">
        <v>3</v>
      </c>
    </row>
    <row r="1129" spans="1:8" x14ac:dyDescent="0.25">
      <c r="A1129" s="76">
        <v>46296</v>
      </c>
      <c r="B1129" s="78">
        <v>2311</v>
      </c>
      <c r="C1129" s="78" t="s">
        <v>26</v>
      </c>
      <c r="D1129" t="s">
        <v>93</v>
      </c>
      <c r="E1129" s="77">
        <v>418100</v>
      </c>
      <c r="H1129">
        <v>18</v>
      </c>
    </row>
    <row r="1130" spans="1:8" x14ac:dyDescent="0.25">
      <c r="A1130" s="76">
        <v>46297</v>
      </c>
      <c r="B1130" s="78">
        <v>154</v>
      </c>
      <c r="C1130" s="78" t="s">
        <v>26</v>
      </c>
      <c r="D1130" t="s">
        <v>553</v>
      </c>
      <c r="E1130" s="77">
        <v>379100</v>
      </c>
      <c r="H1130">
        <v>4</v>
      </c>
    </row>
    <row r="1131" spans="1:8" x14ac:dyDescent="0.25">
      <c r="A1131" s="76">
        <v>46298</v>
      </c>
      <c r="B1131" s="78">
        <v>2520</v>
      </c>
      <c r="C1131" s="78" t="s">
        <v>26</v>
      </c>
      <c r="D1131" t="s">
        <v>196</v>
      </c>
      <c r="E1131" s="77">
        <v>481700</v>
      </c>
      <c r="H1131">
        <v>15</v>
      </c>
    </row>
    <row r="1132" spans="1:8" x14ac:dyDescent="0.25">
      <c r="A1132" s="76">
        <v>46298</v>
      </c>
      <c r="B1132" s="78">
        <v>2847</v>
      </c>
      <c r="C1132" s="78" t="s">
        <v>26</v>
      </c>
      <c r="D1132" t="s">
        <v>330</v>
      </c>
      <c r="E1132" s="77">
        <v>419300</v>
      </c>
      <c r="H1132">
        <v>10</v>
      </c>
    </row>
    <row r="1133" spans="1:8" x14ac:dyDescent="0.25">
      <c r="A1133" s="76">
        <v>46299</v>
      </c>
      <c r="B1133" s="78">
        <v>2849</v>
      </c>
      <c r="C1133" s="78" t="s">
        <v>26</v>
      </c>
      <c r="D1133" t="s">
        <v>334</v>
      </c>
      <c r="E1133" s="77">
        <v>365300</v>
      </c>
      <c r="H1133">
        <v>10</v>
      </c>
    </row>
    <row r="1134" spans="1:8" x14ac:dyDescent="0.25">
      <c r="A1134" s="76">
        <v>46299</v>
      </c>
      <c r="B1134" s="78">
        <v>2850</v>
      </c>
      <c r="C1134" s="78" t="s">
        <v>26</v>
      </c>
      <c r="D1134" t="s">
        <v>332</v>
      </c>
      <c r="E1134" s="77">
        <v>615100</v>
      </c>
      <c r="H1134">
        <v>10</v>
      </c>
    </row>
    <row r="1135" spans="1:8" x14ac:dyDescent="0.25">
      <c r="A1135" s="76">
        <v>46299</v>
      </c>
      <c r="B1135" s="78">
        <v>2</v>
      </c>
      <c r="C1135" s="78" t="s">
        <v>26</v>
      </c>
      <c r="D1135" t="s">
        <v>457</v>
      </c>
      <c r="E1135" s="77">
        <v>614700</v>
      </c>
      <c r="H1135">
        <v>6</v>
      </c>
    </row>
    <row r="1136" spans="1:8" x14ac:dyDescent="0.25">
      <c r="A1136" s="76">
        <v>46300</v>
      </c>
      <c r="B1136" s="78">
        <v>3099</v>
      </c>
      <c r="C1136" s="78" t="s">
        <v>26</v>
      </c>
      <c r="D1136" t="s">
        <v>443</v>
      </c>
      <c r="E1136" s="77">
        <v>614700</v>
      </c>
      <c r="H1136">
        <v>7</v>
      </c>
    </row>
    <row r="1137" spans="1:8" x14ac:dyDescent="0.25">
      <c r="A1137" s="76">
        <v>46300</v>
      </c>
      <c r="B1137" s="78">
        <v>72</v>
      </c>
      <c r="C1137" s="78" t="s">
        <v>26</v>
      </c>
      <c r="D1137" t="s">
        <v>529</v>
      </c>
      <c r="E1137" s="77">
        <v>450400</v>
      </c>
      <c r="H1137">
        <v>5</v>
      </c>
    </row>
    <row r="1138" spans="1:8" x14ac:dyDescent="0.25">
      <c r="A1138" s="76">
        <v>46300</v>
      </c>
      <c r="B1138" s="78">
        <v>73</v>
      </c>
      <c r="C1138" s="78" t="s">
        <v>26</v>
      </c>
      <c r="D1138" t="s">
        <v>530</v>
      </c>
      <c r="E1138" s="77">
        <v>468900</v>
      </c>
      <c r="H1138">
        <v>5</v>
      </c>
    </row>
    <row r="1139" spans="1:8" x14ac:dyDescent="0.25">
      <c r="A1139" s="76">
        <v>46301</v>
      </c>
      <c r="B1139" s="78">
        <v>2858</v>
      </c>
      <c r="C1139" s="78" t="s">
        <v>26</v>
      </c>
      <c r="D1139" t="s">
        <v>336</v>
      </c>
      <c r="E1139" s="77">
        <v>779300</v>
      </c>
      <c r="H1139">
        <v>10</v>
      </c>
    </row>
    <row r="1140" spans="1:8" x14ac:dyDescent="0.25">
      <c r="A1140" s="76">
        <v>46301</v>
      </c>
      <c r="B1140" s="78">
        <v>2948</v>
      </c>
      <c r="C1140" s="78" t="s">
        <v>26</v>
      </c>
      <c r="D1140" t="s">
        <v>379</v>
      </c>
      <c r="E1140" s="77">
        <v>298000</v>
      </c>
      <c r="H1140">
        <v>9</v>
      </c>
    </row>
    <row r="1141" spans="1:8" x14ac:dyDescent="0.25">
      <c r="A1141" s="76">
        <v>46301</v>
      </c>
      <c r="B1141" s="78">
        <v>5</v>
      </c>
      <c r="C1141" s="78" t="s">
        <v>26</v>
      </c>
      <c r="D1141" t="s">
        <v>461</v>
      </c>
      <c r="E1141" s="77">
        <v>714200</v>
      </c>
      <c r="H1141">
        <v>6</v>
      </c>
    </row>
    <row r="1142" spans="1:8" x14ac:dyDescent="0.25">
      <c r="A1142" s="76">
        <v>46301</v>
      </c>
      <c r="B1142" s="78">
        <v>157</v>
      </c>
      <c r="C1142" s="78" t="s">
        <v>26</v>
      </c>
      <c r="D1142" t="s">
        <v>569</v>
      </c>
      <c r="E1142" s="77">
        <v>1850200</v>
      </c>
      <c r="H1142">
        <v>4</v>
      </c>
    </row>
    <row r="1143" spans="1:8" x14ac:dyDescent="0.25">
      <c r="A1143" s="76">
        <v>46301</v>
      </c>
      <c r="B1143" s="78">
        <v>232</v>
      </c>
      <c r="C1143" s="78" t="s">
        <v>26</v>
      </c>
      <c r="D1143" t="s">
        <v>591</v>
      </c>
      <c r="E1143" s="77">
        <v>892100</v>
      </c>
      <c r="H1143">
        <v>3</v>
      </c>
    </row>
    <row r="1144" spans="1:8" x14ac:dyDescent="0.25">
      <c r="A1144" s="76">
        <v>46302</v>
      </c>
      <c r="B1144" s="78">
        <v>78</v>
      </c>
      <c r="C1144" s="78" t="s">
        <v>26</v>
      </c>
      <c r="D1144" t="s">
        <v>531</v>
      </c>
      <c r="E1144" s="77">
        <v>614700</v>
      </c>
      <c r="H1144">
        <v>5</v>
      </c>
    </row>
    <row r="1145" spans="1:8" hidden="1" x14ac:dyDescent="0.25">
      <c r="A1145" s="76">
        <v>46303</v>
      </c>
      <c r="B1145" s="78">
        <v>2860</v>
      </c>
      <c r="C1145" s="78" t="s">
        <v>26</v>
      </c>
      <c r="D1145" t="s">
        <v>338</v>
      </c>
      <c r="E1145" s="77">
        <v>1218500</v>
      </c>
      <c r="F1145" s="77">
        <v>1099038</v>
      </c>
      <c r="G1145" s="79">
        <v>46191</v>
      </c>
      <c r="H1145">
        <v>10</v>
      </c>
    </row>
    <row r="1146" spans="1:8" x14ac:dyDescent="0.25">
      <c r="A1146" s="76">
        <v>46303</v>
      </c>
      <c r="B1146" s="78">
        <v>80</v>
      </c>
      <c r="C1146" s="78" t="s">
        <v>26</v>
      </c>
      <c r="D1146" t="s">
        <v>532</v>
      </c>
      <c r="E1146" s="77">
        <v>134100</v>
      </c>
      <c r="H1146">
        <v>5</v>
      </c>
    </row>
    <row r="1147" spans="1:8" x14ac:dyDescent="0.25">
      <c r="A1147" s="76">
        <v>46304</v>
      </c>
      <c r="B1147" s="78">
        <v>883</v>
      </c>
      <c r="C1147" s="78" t="s">
        <v>240</v>
      </c>
      <c r="D1147" t="s">
        <v>243</v>
      </c>
      <c r="E1147" s="77">
        <v>287300</v>
      </c>
      <c r="H1147">
        <v>15</v>
      </c>
    </row>
    <row r="1148" spans="1:8" x14ac:dyDescent="0.25">
      <c r="A1148" s="76">
        <v>46304</v>
      </c>
      <c r="B1148" s="78">
        <v>2861</v>
      </c>
      <c r="C1148" s="78" t="s">
        <v>26</v>
      </c>
      <c r="D1148" t="s">
        <v>340</v>
      </c>
      <c r="E1148" s="77">
        <v>308200</v>
      </c>
      <c r="H1148">
        <v>10</v>
      </c>
    </row>
    <row r="1149" spans="1:8" x14ac:dyDescent="0.25">
      <c r="A1149" s="76">
        <v>46305</v>
      </c>
      <c r="B1149" s="78">
        <v>2399</v>
      </c>
      <c r="C1149" s="78" t="s">
        <v>26</v>
      </c>
      <c r="D1149" t="s">
        <v>121</v>
      </c>
      <c r="E1149" s="77">
        <v>564700</v>
      </c>
      <c r="H1149">
        <v>17</v>
      </c>
    </row>
    <row r="1150" spans="1:8" x14ac:dyDescent="0.25">
      <c r="A1150" s="76">
        <v>46306</v>
      </c>
      <c r="B1150" s="78">
        <v>86</v>
      </c>
      <c r="C1150" s="78" t="s">
        <v>26</v>
      </c>
      <c r="D1150" t="s">
        <v>534</v>
      </c>
      <c r="E1150" s="77">
        <v>1021400</v>
      </c>
      <c r="H1150">
        <v>5</v>
      </c>
    </row>
    <row r="1151" spans="1:8" x14ac:dyDescent="0.25">
      <c r="A1151" s="76">
        <v>46309</v>
      </c>
      <c r="B1151" s="78">
        <v>2405</v>
      </c>
      <c r="C1151" s="78" t="s">
        <v>26</v>
      </c>
      <c r="D1151" t="s">
        <v>129</v>
      </c>
      <c r="E1151" s="77">
        <v>418100</v>
      </c>
      <c r="H1151">
        <v>17</v>
      </c>
    </row>
    <row r="1152" spans="1:8" x14ac:dyDescent="0.25">
      <c r="A1152" s="76">
        <v>46311</v>
      </c>
      <c r="B1152" s="78">
        <v>2878</v>
      </c>
      <c r="C1152" s="78" t="s">
        <v>26</v>
      </c>
      <c r="D1152" t="s">
        <v>361</v>
      </c>
      <c r="E1152" s="77">
        <v>965900</v>
      </c>
      <c r="H1152">
        <v>10</v>
      </c>
    </row>
    <row r="1153" spans="1:8" x14ac:dyDescent="0.25">
      <c r="A1153" s="76">
        <v>46312</v>
      </c>
      <c r="B1153" s="78">
        <v>2566</v>
      </c>
      <c r="C1153" s="78" t="s">
        <v>26</v>
      </c>
      <c r="D1153" t="s">
        <v>200</v>
      </c>
      <c r="E1153" s="77">
        <v>790200</v>
      </c>
      <c r="H1153">
        <v>15</v>
      </c>
    </row>
    <row r="1154" spans="1:8" x14ac:dyDescent="0.25">
      <c r="A1154" s="76">
        <v>46312</v>
      </c>
      <c r="B1154" s="78">
        <v>2967</v>
      </c>
      <c r="C1154" s="78" t="s">
        <v>26</v>
      </c>
      <c r="D1154" t="s">
        <v>396</v>
      </c>
      <c r="E1154" s="77">
        <v>989800</v>
      </c>
      <c r="H1154">
        <v>9</v>
      </c>
    </row>
    <row r="1155" spans="1:8" x14ac:dyDescent="0.25">
      <c r="A1155" s="76">
        <v>46312</v>
      </c>
      <c r="B1155" s="78">
        <v>2968</v>
      </c>
      <c r="C1155" s="78" t="s">
        <v>26</v>
      </c>
      <c r="D1155" t="s">
        <v>398</v>
      </c>
      <c r="E1155" s="77">
        <v>452200</v>
      </c>
      <c r="H1155">
        <v>9</v>
      </c>
    </row>
    <row r="1156" spans="1:8" x14ac:dyDescent="0.25">
      <c r="A1156" s="76">
        <v>46313</v>
      </c>
      <c r="B1156" s="78">
        <v>2493</v>
      </c>
      <c r="C1156" s="78" t="s">
        <v>26</v>
      </c>
      <c r="D1156" t="s">
        <v>166</v>
      </c>
      <c r="E1156" s="77">
        <v>328300</v>
      </c>
      <c r="H1156">
        <v>16</v>
      </c>
    </row>
    <row r="1157" spans="1:8" x14ac:dyDescent="0.25">
      <c r="A1157" s="76">
        <v>46313</v>
      </c>
      <c r="B1157" s="78">
        <v>3060</v>
      </c>
      <c r="C1157" s="78" t="s">
        <v>26</v>
      </c>
      <c r="D1157" t="s">
        <v>432</v>
      </c>
      <c r="E1157" s="77">
        <v>623600</v>
      </c>
      <c r="H1157">
        <v>8</v>
      </c>
    </row>
    <row r="1158" spans="1:8" x14ac:dyDescent="0.25">
      <c r="A1158" s="76">
        <v>46313</v>
      </c>
      <c r="B1158" s="78">
        <v>31</v>
      </c>
      <c r="C1158" s="78" t="s">
        <v>26</v>
      </c>
      <c r="D1158" t="s">
        <v>501</v>
      </c>
      <c r="E1158" s="77">
        <v>581500</v>
      </c>
      <c r="H1158">
        <v>6</v>
      </c>
    </row>
    <row r="1159" spans="1:8" x14ac:dyDescent="0.25">
      <c r="A1159" s="76">
        <v>46314</v>
      </c>
      <c r="B1159" s="78">
        <v>2494</v>
      </c>
      <c r="C1159" s="78" t="s">
        <v>26</v>
      </c>
      <c r="D1159" t="s">
        <v>168</v>
      </c>
      <c r="E1159" s="77">
        <v>425600</v>
      </c>
      <c r="H1159">
        <v>16</v>
      </c>
    </row>
    <row r="1160" spans="1:8" x14ac:dyDescent="0.25">
      <c r="A1160" s="76">
        <v>46314</v>
      </c>
      <c r="B1160" s="78">
        <v>2637</v>
      </c>
      <c r="C1160" s="78" t="s">
        <v>26</v>
      </c>
      <c r="D1160" t="s">
        <v>221</v>
      </c>
      <c r="E1160" s="77">
        <v>663300</v>
      </c>
      <c r="H1160">
        <v>14</v>
      </c>
    </row>
    <row r="1161" spans="1:8" x14ac:dyDescent="0.25">
      <c r="A1161" s="76">
        <v>46314</v>
      </c>
      <c r="B1161" s="78">
        <v>2810</v>
      </c>
      <c r="C1161" s="78" t="s">
        <v>26</v>
      </c>
      <c r="D1161" t="s">
        <v>318</v>
      </c>
      <c r="E1161" s="77">
        <v>557500</v>
      </c>
      <c r="H1161">
        <v>11</v>
      </c>
    </row>
    <row r="1162" spans="1:8" x14ac:dyDescent="0.25">
      <c r="A1162" s="76">
        <v>46314</v>
      </c>
      <c r="B1162" s="78">
        <v>1110</v>
      </c>
      <c r="C1162" s="78" t="s">
        <v>240</v>
      </c>
      <c r="D1162" t="s">
        <v>419</v>
      </c>
      <c r="E1162" s="77">
        <v>751300</v>
      </c>
      <c r="H1162">
        <v>9</v>
      </c>
    </row>
    <row r="1163" spans="1:8" x14ac:dyDescent="0.25">
      <c r="A1163" s="76">
        <v>46314</v>
      </c>
      <c r="B1163" s="78">
        <v>3062</v>
      </c>
      <c r="C1163" s="78" t="s">
        <v>26</v>
      </c>
      <c r="D1163" t="s">
        <v>435</v>
      </c>
      <c r="E1163" s="77">
        <v>452200</v>
      </c>
      <c r="H1163">
        <v>8</v>
      </c>
    </row>
    <row r="1164" spans="1:8" hidden="1" x14ac:dyDescent="0.25">
      <c r="A1164" s="76">
        <v>46315</v>
      </c>
      <c r="B1164" s="78">
        <v>2498</v>
      </c>
      <c r="C1164" s="78" t="s">
        <v>26</v>
      </c>
      <c r="D1164" t="s">
        <v>153</v>
      </c>
      <c r="E1164" s="77">
        <v>904200</v>
      </c>
      <c r="F1164" s="77">
        <v>815529</v>
      </c>
      <c r="G1164" s="79">
        <v>46112</v>
      </c>
      <c r="H1164">
        <v>16</v>
      </c>
    </row>
    <row r="1165" spans="1:8" x14ac:dyDescent="0.25">
      <c r="A1165" s="76">
        <v>46315</v>
      </c>
      <c r="B1165" s="78">
        <v>2640</v>
      </c>
      <c r="C1165" s="78" t="s">
        <v>26</v>
      </c>
      <c r="D1165" t="s">
        <v>234</v>
      </c>
      <c r="E1165" s="77">
        <v>789900</v>
      </c>
      <c r="H1165">
        <v>14</v>
      </c>
    </row>
    <row r="1166" spans="1:8" x14ac:dyDescent="0.25">
      <c r="A1166" s="76">
        <v>46315</v>
      </c>
      <c r="B1166" s="78">
        <v>2973</v>
      </c>
      <c r="C1166" s="78" t="s">
        <v>26</v>
      </c>
      <c r="D1166" t="s">
        <v>400</v>
      </c>
      <c r="E1166" s="77">
        <v>696400</v>
      </c>
      <c r="H1166">
        <v>9</v>
      </c>
    </row>
    <row r="1167" spans="1:8" x14ac:dyDescent="0.25">
      <c r="A1167" s="76">
        <v>46315</v>
      </c>
      <c r="B1167" s="78">
        <v>3068</v>
      </c>
      <c r="C1167" s="78" t="s">
        <v>26</v>
      </c>
      <c r="D1167" t="s">
        <v>437</v>
      </c>
      <c r="E1167" s="77">
        <v>450400</v>
      </c>
      <c r="H1167">
        <v>8</v>
      </c>
    </row>
    <row r="1168" spans="1:8" x14ac:dyDescent="0.25">
      <c r="A1168" s="76">
        <v>46316</v>
      </c>
      <c r="B1168" s="78">
        <v>2344</v>
      </c>
      <c r="C1168" s="78" t="s">
        <v>26</v>
      </c>
      <c r="D1168" t="s">
        <v>109</v>
      </c>
      <c r="E1168" s="77">
        <v>317700</v>
      </c>
      <c r="H1168">
        <v>18</v>
      </c>
    </row>
    <row r="1169" spans="1:8" x14ac:dyDescent="0.25">
      <c r="A1169" s="76">
        <v>46316</v>
      </c>
      <c r="B1169" s="78">
        <v>2500</v>
      </c>
      <c r="C1169" s="78" t="s">
        <v>26</v>
      </c>
      <c r="D1169" t="s">
        <v>155</v>
      </c>
      <c r="E1169" s="77">
        <v>600000</v>
      </c>
      <c r="H1169">
        <v>16</v>
      </c>
    </row>
    <row r="1170" spans="1:8" hidden="1" x14ac:dyDescent="0.25">
      <c r="A1170" s="76">
        <v>46316</v>
      </c>
      <c r="B1170" s="78">
        <v>2501</v>
      </c>
      <c r="C1170" s="78" t="s">
        <v>26</v>
      </c>
      <c r="D1170" t="s">
        <v>157</v>
      </c>
      <c r="E1170" s="77">
        <v>325300</v>
      </c>
      <c r="F1170" s="77">
        <v>293361</v>
      </c>
      <c r="G1170" s="79">
        <v>46112</v>
      </c>
      <c r="H1170">
        <v>16</v>
      </c>
    </row>
    <row r="1171" spans="1:8" x14ac:dyDescent="0.25">
      <c r="A1171" s="76">
        <v>46316</v>
      </c>
      <c r="B1171" s="78">
        <v>1112</v>
      </c>
      <c r="C1171" s="78" t="s">
        <v>240</v>
      </c>
      <c r="D1171" t="s">
        <v>467</v>
      </c>
      <c r="E1171" s="77">
        <v>649000</v>
      </c>
      <c r="H1171">
        <v>9</v>
      </c>
    </row>
    <row r="1172" spans="1:8" x14ac:dyDescent="0.25">
      <c r="A1172" s="76">
        <v>46317</v>
      </c>
      <c r="B1172" s="78">
        <v>2346</v>
      </c>
      <c r="C1172" s="78" t="s">
        <v>26</v>
      </c>
      <c r="D1172" t="s">
        <v>111</v>
      </c>
      <c r="E1172" s="77">
        <v>656200</v>
      </c>
      <c r="H1172">
        <v>18</v>
      </c>
    </row>
    <row r="1173" spans="1:8" hidden="1" x14ac:dyDescent="0.25">
      <c r="A1173" s="76">
        <v>46318</v>
      </c>
      <c r="B1173" s="78">
        <v>2348</v>
      </c>
      <c r="C1173" s="78" t="s">
        <v>26</v>
      </c>
      <c r="D1173" t="s">
        <v>113</v>
      </c>
      <c r="E1173" s="77">
        <v>393500</v>
      </c>
      <c r="F1173" s="77">
        <v>380182</v>
      </c>
      <c r="G1173" s="79">
        <v>45891</v>
      </c>
      <c r="H1173">
        <v>18</v>
      </c>
    </row>
    <row r="1174" spans="1:8" x14ac:dyDescent="0.25">
      <c r="A1174" s="76">
        <v>46317</v>
      </c>
      <c r="B1174" s="78">
        <v>117</v>
      </c>
      <c r="C1174" s="78" t="s">
        <v>26</v>
      </c>
      <c r="D1174" t="s">
        <v>545</v>
      </c>
      <c r="E1174" s="77">
        <v>1030700</v>
      </c>
      <c r="H1174">
        <v>5</v>
      </c>
    </row>
    <row r="1175" spans="1:8" x14ac:dyDescent="0.25">
      <c r="A1175" s="76">
        <v>46318</v>
      </c>
      <c r="B1175" s="78">
        <v>45</v>
      </c>
      <c r="C1175" s="78" t="s">
        <v>26</v>
      </c>
      <c r="D1175" t="s">
        <v>519</v>
      </c>
      <c r="E1175" s="77">
        <v>658800</v>
      </c>
      <c r="H1175">
        <v>6</v>
      </c>
    </row>
    <row r="1176" spans="1:8" x14ac:dyDescent="0.25">
      <c r="A1176" s="76">
        <v>46318</v>
      </c>
      <c r="B1176" s="78">
        <v>47</v>
      </c>
      <c r="C1176" s="78" t="s">
        <v>26</v>
      </c>
      <c r="D1176" t="s">
        <v>522</v>
      </c>
      <c r="E1176" s="77">
        <v>304200</v>
      </c>
      <c r="H1176">
        <v>6</v>
      </c>
    </row>
    <row r="1177" spans="1:8" x14ac:dyDescent="0.25">
      <c r="A1177" s="76">
        <v>46318</v>
      </c>
      <c r="B1177" s="78">
        <v>119</v>
      </c>
      <c r="C1177" s="78" t="s">
        <v>26</v>
      </c>
      <c r="D1177" t="s">
        <v>546</v>
      </c>
      <c r="E1177" s="77">
        <v>803800</v>
      </c>
      <c r="H1177">
        <v>5</v>
      </c>
    </row>
    <row r="1178" spans="1:8" x14ac:dyDescent="0.25">
      <c r="A1178" s="76">
        <v>46319</v>
      </c>
      <c r="B1178" s="78">
        <v>2431</v>
      </c>
      <c r="C1178" s="78" t="s">
        <v>26</v>
      </c>
      <c r="D1178" t="s">
        <v>149</v>
      </c>
      <c r="E1178" s="77">
        <v>313900</v>
      </c>
      <c r="H1178">
        <v>17</v>
      </c>
    </row>
    <row r="1179" spans="1:8" x14ac:dyDescent="0.25">
      <c r="A1179" s="76">
        <v>46319</v>
      </c>
      <c r="B1179" s="78">
        <v>2817</v>
      </c>
      <c r="C1179" s="78" t="s">
        <v>26</v>
      </c>
      <c r="D1179" t="s">
        <v>320</v>
      </c>
      <c r="E1179" s="77">
        <v>841000</v>
      </c>
      <c r="H1179">
        <v>11</v>
      </c>
    </row>
    <row r="1180" spans="1:8" x14ac:dyDescent="0.25">
      <c r="A1180" s="76">
        <v>46319</v>
      </c>
      <c r="B1180" s="78">
        <v>2913</v>
      </c>
      <c r="C1180" s="78" t="s">
        <v>26</v>
      </c>
      <c r="D1180" t="s">
        <v>365</v>
      </c>
      <c r="E1180" s="77">
        <v>588800</v>
      </c>
      <c r="H1180">
        <v>10</v>
      </c>
    </row>
    <row r="1181" spans="1:8" x14ac:dyDescent="0.25">
      <c r="A1181" s="76">
        <v>46320</v>
      </c>
      <c r="B1181" s="78">
        <v>2511</v>
      </c>
      <c r="C1181" s="78" t="s">
        <v>26</v>
      </c>
      <c r="D1181" t="s">
        <v>171</v>
      </c>
      <c r="E1181" s="77">
        <v>712300</v>
      </c>
      <c r="H1181">
        <v>16</v>
      </c>
    </row>
    <row r="1182" spans="1:8" hidden="1" x14ac:dyDescent="0.25">
      <c r="A1182" s="76">
        <v>46320</v>
      </c>
      <c r="B1182" s="78">
        <v>2825</v>
      </c>
      <c r="C1182" s="78" t="s">
        <v>26</v>
      </c>
      <c r="D1182" t="s">
        <v>322</v>
      </c>
      <c r="E1182" s="77">
        <v>619100</v>
      </c>
      <c r="F1182" s="77">
        <v>619100</v>
      </c>
      <c r="G1182" s="79">
        <v>46174</v>
      </c>
      <c r="H1182">
        <v>11</v>
      </c>
    </row>
    <row r="1183" spans="1:8" x14ac:dyDescent="0.25">
      <c r="A1183" s="76">
        <v>46320</v>
      </c>
      <c r="B1183" s="78">
        <v>2828</v>
      </c>
      <c r="C1183" s="78" t="s">
        <v>26</v>
      </c>
      <c r="D1183" t="s">
        <v>309</v>
      </c>
      <c r="E1183" s="77">
        <v>441300</v>
      </c>
      <c r="H1183">
        <v>11</v>
      </c>
    </row>
    <row r="1184" spans="1:8" x14ac:dyDescent="0.25">
      <c r="A1184" s="76">
        <v>46320</v>
      </c>
      <c r="B1184" s="78">
        <v>3151</v>
      </c>
      <c r="C1184" s="78" t="s">
        <v>26</v>
      </c>
      <c r="D1184" t="s">
        <v>444</v>
      </c>
      <c r="E1184" s="77">
        <v>614700</v>
      </c>
      <c r="H1184">
        <v>7</v>
      </c>
    </row>
    <row r="1185" spans="1:8" x14ac:dyDescent="0.25">
      <c r="A1185" s="76">
        <v>46320</v>
      </c>
      <c r="B1185" s="78">
        <v>51</v>
      </c>
      <c r="C1185" s="78" t="s">
        <v>26</v>
      </c>
      <c r="D1185" t="s">
        <v>523</v>
      </c>
      <c r="E1185" s="77">
        <v>242200</v>
      </c>
      <c r="H1185">
        <v>6</v>
      </c>
    </row>
    <row r="1186" spans="1:8" x14ac:dyDescent="0.25">
      <c r="A1186" s="76">
        <v>46320</v>
      </c>
      <c r="B1186" s="78">
        <v>122</v>
      </c>
      <c r="C1186" s="78" t="s">
        <v>26</v>
      </c>
      <c r="D1186" t="s">
        <v>547</v>
      </c>
      <c r="E1186" s="77">
        <v>511200</v>
      </c>
      <c r="H1186">
        <v>5</v>
      </c>
    </row>
    <row r="1187" spans="1:8" x14ac:dyDescent="0.25">
      <c r="A1187" s="76">
        <v>46320</v>
      </c>
      <c r="B1187" s="78">
        <v>123</v>
      </c>
      <c r="C1187" s="78" t="s">
        <v>26</v>
      </c>
      <c r="D1187" t="s">
        <v>548</v>
      </c>
      <c r="E1187" s="77">
        <v>407700</v>
      </c>
      <c r="H1187">
        <v>5</v>
      </c>
    </row>
    <row r="1188" spans="1:8" x14ac:dyDescent="0.25">
      <c r="A1188" s="76">
        <v>46321</v>
      </c>
      <c r="B1188" s="78">
        <v>2515</v>
      </c>
      <c r="C1188" s="78" t="s">
        <v>26</v>
      </c>
      <c r="D1188" t="s">
        <v>174</v>
      </c>
      <c r="E1188" s="77">
        <v>804500</v>
      </c>
      <c r="H1188">
        <v>16</v>
      </c>
    </row>
    <row r="1189" spans="1:8" hidden="1" x14ac:dyDescent="0.25">
      <c r="A1189" s="76">
        <v>46321</v>
      </c>
      <c r="B1189" s="78">
        <v>2919</v>
      </c>
      <c r="C1189" s="78" t="s">
        <v>26</v>
      </c>
      <c r="D1189" t="s">
        <v>369</v>
      </c>
      <c r="E1189" s="77">
        <v>440800</v>
      </c>
      <c r="F1189" s="77">
        <v>440800</v>
      </c>
      <c r="G1189" s="79">
        <v>46160</v>
      </c>
      <c r="H1189">
        <v>10</v>
      </c>
    </row>
    <row r="1190" spans="1:8" x14ac:dyDescent="0.25">
      <c r="A1190" s="76">
        <v>46321</v>
      </c>
      <c r="B1190" s="78">
        <v>3157</v>
      </c>
      <c r="C1190" s="78" t="s">
        <v>26</v>
      </c>
      <c r="D1190" t="s">
        <v>447</v>
      </c>
      <c r="E1190" s="77">
        <v>407700</v>
      </c>
      <c r="H1190">
        <v>7</v>
      </c>
    </row>
    <row r="1191" spans="1:8" x14ac:dyDescent="0.25">
      <c r="A1191" s="76">
        <v>46321</v>
      </c>
      <c r="B1191" s="78">
        <v>125</v>
      </c>
      <c r="C1191" s="78" t="s">
        <v>26</v>
      </c>
      <c r="D1191" t="s">
        <v>549</v>
      </c>
      <c r="E1191" s="77">
        <v>922100</v>
      </c>
      <c r="H1191">
        <v>5</v>
      </c>
    </row>
    <row r="1192" spans="1:8" x14ac:dyDescent="0.25">
      <c r="A1192" s="76">
        <v>46321</v>
      </c>
      <c r="B1192" s="78">
        <v>128</v>
      </c>
      <c r="C1192" s="78" t="s">
        <v>26</v>
      </c>
      <c r="D1192" t="s">
        <v>550</v>
      </c>
      <c r="E1192" s="77">
        <v>792800</v>
      </c>
      <c r="H1192">
        <v>5</v>
      </c>
    </row>
    <row r="1193" spans="1:8" x14ac:dyDescent="0.25">
      <c r="A1193" s="76">
        <v>46322</v>
      </c>
      <c r="B1193" s="78">
        <v>2768</v>
      </c>
      <c r="C1193" s="78" t="s">
        <v>26</v>
      </c>
      <c r="D1193" t="s">
        <v>295</v>
      </c>
      <c r="E1193" s="77">
        <v>537100</v>
      </c>
      <c r="H1193">
        <v>12</v>
      </c>
    </row>
    <row r="1194" spans="1:8" x14ac:dyDescent="0.25">
      <c r="A1194" s="76">
        <v>46322</v>
      </c>
      <c r="B1194" s="78">
        <v>3082</v>
      </c>
      <c r="C1194" s="78" t="s">
        <v>26</v>
      </c>
      <c r="D1194" t="s">
        <v>439</v>
      </c>
      <c r="E1194" s="77">
        <v>672000</v>
      </c>
      <c r="H1194">
        <v>8</v>
      </c>
    </row>
    <row r="1195" spans="1:8" x14ac:dyDescent="0.25">
      <c r="A1195" s="76">
        <v>46323</v>
      </c>
      <c r="B1195" s="78">
        <v>2517</v>
      </c>
      <c r="C1195" s="78" t="s">
        <v>26</v>
      </c>
      <c r="D1195" t="s">
        <v>176</v>
      </c>
      <c r="E1195" s="77">
        <v>728700</v>
      </c>
      <c r="H1195">
        <v>16</v>
      </c>
    </row>
    <row r="1196" spans="1:8" hidden="1" x14ac:dyDescent="0.25">
      <c r="A1196" s="76">
        <v>46324</v>
      </c>
      <c r="B1196" s="78">
        <v>2588</v>
      </c>
      <c r="C1196" s="78" t="s">
        <v>26</v>
      </c>
      <c r="D1196" t="s">
        <v>201</v>
      </c>
      <c r="E1196" s="77">
        <v>792000</v>
      </c>
      <c r="F1196" s="77">
        <v>690194</v>
      </c>
      <c r="G1196" s="79">
        <v>45976</v>
      </c>
      <c r="H1196">
        <v>15</v>
      </c>
    </row>
    <row r="1197" spans="1:8" hidden="1" x14ac:dyDescent="0.25">
      <c r="A1197" s="76">
        <v>46324</v>
      </c>
      <c r="B1197" s="78">
        <v>912</v>
      </c>
      <c r="C1197" s="78" t="s">
        <v>240</v>
      </c>
      <c r="D1197" t="s">
        <v>241</v>
      </c>
      <c r="E1197" s="77">
        <v>605800</v>
      </c>
      <c r="F1197" s="77">
        <v>527900</v>
      </c>
      <c r="G1197" s="79">
        <v>45996</v>
      </c>
      <c r="H1197">
        <v>15</v>
      </c>
    </row>
    <row r="1198" spans="1:8" x14ac:dyDescent="0.25">
      <c r="A1198" s="76">
        <v>46323</v>
      </c>
      <c r="B1198" s="78">
        <v>2990</v>
      </c>
      <c r="C1198" s="78" t="s">
        <v>26</v>
      </c>
      <c r="D1198" t="s">
        <v>412</v>
      </c>
      <c r="E1198" s="77">
        <v>1028500</v>
      </c>
      <c r="H1198">
        <v>9</v>
      </c>
    </row>
    <row r="1199" spans="1:8" x14ac:dyDescent="0.25">
      <c r="A1199" s="76">
        <v>46323</v>
      </c>
      <c r="B1199" s="78">
        <v>3086</v>
      </c>
      <c r="C1199" s="78" t="s">
        <v>26</v>
      </c>
      <c r="D1199" t="s">
        <v>441</v>
      </c>
      <c r="E1199" s="77">
        <v>407700</v>
      </c>
      <c r="H1199">
        <v>8</v>
      </c>
    </row>
    <row r="1200" spans="1:8" x14ac:dyDescent="0.25">
      <c r="A1200" s="76">
        <v>46325</v>
      </c>
      <c r="B1200" s="78">
        <v>2936</v>
      </c>
      <c r="C1200" s="78" t="s">
        <v>26</v>
      </c>
      <c r="D1200" t="s">
        <v>372</v>
      </c>
      <c r="E1200" s="77">
        <v>488500</v>
      </c>
      <c r="H1200">
        <v>10</v>
      </c>
    </row>
    <row r="1201" spans="1:8" x14ac:dyDescent="0.25">
      <c r="A1201" s="76">
        <v>46325</v>
      </c>
      <c r="B1201" s="78">
        <v>3168</v>
      </c>
      <c r="C1201" s="78" t="s">
        <v>26</v>
      </c>
      <c r="D1201" t="s">
        <v>449</v>
      </c>
      <c r="E1201" s="77">
        <v>659900</v>
      </c>
      <c r="H1201">
        <v>7</v>
      </c>
    </row>
    <row r="1202" spans="1:8" x14ac:dyDescent="0.25">
      <c r="A1202" s="76">
        <v>46325</v>
      </c>
      <c r="B1202" s="78">
        <v>3172</v>
      </c>
      <c r="C1202" s="78" t="s">
        <v>26</v>
      </c>
      <c r="D1202" t="s">
        <v>451</v>
      </c>
      <c r="E1202" s="77">
        <v>645700</v>
      </c>
      <c r="H1202">
        <v>7</v>
      </c>
    </row>
    <row r="1203" spans="1:8" x14ac:dyDescent="0.25">
      <c r="A1203" s="76">
        <v>46325</v>
      </c>
      <c r="B1203" s="78">
        <v>62</v>
      </c>
      <c r="C1203" s="78" t="s">
        <v>26</v>
      </c>
      <c r="D1203" t="s">
        <v>526</v>
      </c>
      <c r="E1203" s="77">
        <v>1107200</v>
      </c>
      <c r="H1203">
        <v>6</v>
      </c>
    </row>
    <row r="1204" spans="1:8" x14ac:dyDescent="0.25">
      <c r="A1204" s="76">
        <v>46325</v>
      </c>
      <c r="B1204" s="78">
        <v>65</v>
      </c>
      <c r="C1204" s="78" t="s">
        <v>26</v>
      </c>
      <c r="D1204" t="s">
        <v>527</v>
      </c>
      <c r="E1204" s="77">
        <v>353500</v>
      </c>
      <c r="H1204">
        <v>6</v>
      </c>
    </row>
    <row r="1205" spans="1:8" x14ac:dyDescent="0.25">
      <c r="A1205" s="76">
        <v>46325</v>
      </c>
      <c r="B1205" s="78">
        <v>143</v>
      </c>
      <c r="C1205" s="78" t="s">
        <v>26</v>
      </c>
      <c r="D1205" t="s">
        <v>552</v>
      </c>
      <c r="E1205" s="77">
        <v>429700</v>
      </c>
      <c r="H1205">
        <v>5</v>
      </c>
    </row>
    <row r="1206" spans="1:8" x14ac:dyDescent="0.25">
      <c r="A1206" s="76">
        <v>46325</v>
      </c>
      <c r="B1206" s="78">
        <v>217</v>
      </c>
      <c r="C1206" s="78" t="s">
        <v>26</v>
      </c>
      <c r="D1206" t="s">
        <v>581</v>
      </c>
      <c r="E1206" s="77">
        <v>614700</v>
      </c>
      <c r="H1206">
        <v>4</v>
      </c>
    </row>
    <row r="1207" spans="1:8" x14ac:dyDescent="0.25">
      <c r="A1207" s="76">
        <v>46326</v>
      </c>
      <c r="B1207" s="78">
        <v>3007</v>
      </c>
      <c r="C1207" s="78" t="s">
        <v>26</v>
      </c>
      <c r="D1207" t="s">
        <v>428</v>
      </c>
      <c r="E1207" s="77">
        <v>861400</v>
      </c>
      <c r="H1207">
        <v>9</v>
      </c>
    </row>
    <row r="1208" spans="1:8" x14ac:dyDescent="0.25">
      <c r="A1208" s="76">
        <v>46326</v>
      </c>
      <c r="B1208" s="78">
        <v>3008</v>
      </c>
      <c r="C1208" s="78" t="s">
        <v>26</v>
      </c>
      <c r="D1208" t="s">
        <v>430</v>
      </c>
      <c r="E1208" s="77">
        <v>813500</v>
      </c>
      <c r="H1208">
        <v>9</v>
      </c>
    </row>
    <row r="1209" spans="1:8" x14ac:dyDescent="0.25">
      <c r="A1209" s="76">
        <v>46328</v>
      </c>
      <c r="B1209" s="78">
        <v>154</v>
      </c>
      <c r="C1209" s="78" t="s">
        <v>26</v>
      </c>
      <c r="D1209" t="s">
        <v>553</v>
      </c>
      <c r="E1209" s="77">
        <v>379100</v>
      </c>
      <c r="H1209">
        <v>5</v>
      </c>
    </row>
    <row r="1210" spans="1:8" x14ac:dyDescent="0.25">
      <c r="A1210" s="76">
        <v>46329</v>
      </c>
      <c r="B1210" s="78">
        <v>2520</v>
      </c>
      <c r="C1210" s="78" t="s">
        <v>26</v>
      </c>
      <c r="D1210" t="s">
        <v>196</v>
      </c>
      <c r="E1210" s="77">
        <v>481700</v>
      </c>
      <c r="H1210">
        <v>16</v>
      </c>
    </row>
    <row r="1211" spans="1:8" x14ac:dyDescent="0.25">
      <c r="A1211" s="76">
        <v>46329</v>
      </c>
      <c r="B1211" s="78">
        <v>2847</v>
      </c>
      <c r="C1211" s="78" t="s">
        <v>26</v>
      </c>
      <c r="D1211" t="s">
        <v>330</v>
      </c>
      <c r="E1211" s="77">
        <v>419300</v>
      </c>
      <c r="H1211">
        <v>11</v>
      </c>
    </row>
    <row r="1212" spans="1:8" x14ac:dyDescent="0.25">
      <c r="A1212" s="76">
        <v>46330</v>
      </c>
      <c r="B1212" s="78">
        <v>2849</v>
      </c>
      <c r="C1212" s="78" t="s">
        <v>26</v>
      </c>
      <c r="D1212" t="s">
        <v>334</v>
      </c>
      <c r="E1212" s="77">
        <v>365300</v>
      </c>
      <c r="H1212">
        <v>11</v>
      </c>
    </row>
    <row r="1213" spans="1:8" x14ac:dyDescent="0.25">
      <c r="A1213" s="76">
        <v>46330</v>
      </c>
      <c r="B1213" s="78">
        <v>2850</v>
      </c>
      <c r="C1213" s="78" t="s">
        <v>26</v>
      </c>
      <c r="D1213" t="s">
        <v>332</v>
      </c>
      <c r="E1213" s="77">
        <v>615100</v>
      </c>
      <c r="H1213">
        <v>11</v>
      </c>
    </row>
    <row r="1214" spans="1:8" x14ac:dyDescent="0.25">
      <c r="A1214" s="76">
        <v>46330</v>
      </c>
      <c r="B1214" s="78">
        <v>2</v>
      </c>
      <c r="C1214" s="78" t="s">
        <v>26</v>
      </c>
      <c r="D1214" t="s">
        <v>457</v>
      </c>
      <c r="E1214" s="77">
        <v>614700</v>
      </c>
      <c r="H1214">
        <v>7</v>
      </c>
    </row>
    <row r="1215" spans="1:8" x14ac:dyDescent="0.25">
      <c r="A1215" s="76">
        <v>46331</v>
      </c>
      <c r="B1215" s="78">
        <v>3099</v>
      </c>
      <c r="C1215" s="78" t="s">
        <v>26</v>
      </c>
      <c r="D1215" t="s">
        <v>443</v>
      </c>
      <c r="E1215" s="77">
        <v>614700</v>
      </c>
      <c r="H1215">
        <v>8</v>
      </c>
    </row>
    <row r="1216" spans="1:8" x14ac:dyDescent="0.25">
      <c r="A1216" s="76">
        <v>46331</v>
      </c>
      <c r="B1216" s="78">
        <v>72</v>
      </c>
      <c r="C1216" s="78" t="s">
        <v>26</v>
      </c>
      <c r="D1216" t="s">
        <v>529</v>
      </c>
      <c r="E1216" s="77">
        <v>450400</v>
      </c>
      <c r="H1216">
        <v>6</v>
      </c>
    </row>
    <row r="1217" spans="1:8" x14ac:dyDescent="0.25">
      <c r="A1217" s="76">
        <v>46331</v>
      </c>
      <c r="B1217" s="78">
        <v>73</v>
      </c>
      <c r="C1217" s="78" t="s">
        <v>26</v>
      </c>
      <c r="D1217" t="s">
        <v>530</v>
      </c>
      <c r="E1217" s="77">
        <v>468900</v>
      </c>
      <c r="H1217">
        <v>6</v>
      </c>
    </row>
    <row r="1218" spans="1:8" x14ac:dyDescent="0.25">
      <c r="A1218" s="76">
        <v>46332</v>
      </c>
      <c r="B1218" s="78">
        <v>2858</v>
      </c>
      <c r="C1218" s="78" t="s">
        <v>26</v>
      </c>
      <c r="D1218" t="s">
        <v>336</v>
      </c>
      <c r="E1218" s="77">
        <v>779300</v>
      </c>
      <c r="H1218">
        <v>11</v>
      </c>
    </row>
    <row r="1219" spans="1:8" x14ac:dyDescent="0.25">
      <c r="A1219" s="76">
        <v>46332</v>
      </c>
      <c r="B1219" s="78">
        <v>2948</v>
      </c>
      <c r="C1219" s="78" t="s">
        <v>26</v>
      </c>
      <c r="D1219" t="s">
        <v>379</v>
      </c>
      <c r="E1219" s="77">
        <v>298000</v>
      </c>
      <c r="H1219">
        <v>10</v>
      </c>
    </row>
    <row r="1220" spans="1:8" x14ac:dyDescent="0.25">
      <c r="A1220" s="76">
        <v>46332</v>
      </c>
      <c r="B1220" s="78">
        <v>5</v>
      </c>
      <c r="C1220" s="78" t="s">
        <v>26</v>
      </c>
      <c r="D1220" t="s">
        <v>461</v>
      </c>
      <c r="E1220" s="77">
        <v>714200</v>
      </c>
      <c r="H1220">
        <v>7</v>
      </c>
    </row>
    <row r="1221" spans="1:8" x14ac:dyDescent="0.25">
      <c r="A1221" s="76">
        <v>46332</v>
      </c>
      <c r="B1221" s="78">
        <v>157</v>
      </c>
      <c r="C1221" s="78" t="s">
        <v>26</v>
      </c>
      <c r="D1221" t="s">
        <v>569</v>
      </c>
      <c r="E1221" s="77">
        <v>1850200</v>
      </c>
      <c r="H1221">
        <v>5</v>
      </c>
    </row>
    <row r="1222" spans="1:8" x14ac:dyDescent="0.25">
      <c r="A1222" s="76">
        <v>46332</v>
      </c>
      <c r="B1222" s="78">
        <v>232</v>
      </c>
      <c r="C1222" s="78" t="s">
        <v>26</v>
      </c>
      <c r="D1222" t="s">
        <v>591</v>
      </c>
      <c r="E1222" s="77">
        <v>892100</v>
      </c>
      <c r="H1222">
        <v>4</v>
      </c>
    </row>
    <row r="1223" spans="1:8" x14ac:dyDescent="0.25">
      <c r="A1223" s="76">
        <v>46333</v>
      </c>
      <c r="B1223" s="78">
        <v>78</v>
      </c>
      <c r="C1223" s="78" t="s">
        <v>26</v>
      </c>
      <c r="D1223" t="s">
        <v>531</v>
      </c>
      <c r="E1223" s="77">
        <v>614700</v>
      </c>
      <c r="H1223">
        <v>6</v>
      </c>
    </row>
    <row r="1224" spans="1:8" hidden="1" x14ac:dyDescent="0.25">
      <c r="A1224" s="76">
        <v>46334</v>
      </c>
      <c r="B1224" s="78">
        <v>2860</v>
      </c>
      <c r="C1224" s="78" t="s">
        <v>26</v>
      </c>
      <c r="D1224" t="s">
        <v>338</v>
      </c>
      <c r="E1224" s="77">
        <v>1218500</v>
      </c>
      <c r="F1224" s="77">
        <v>1137505</v>
      </c>
      <c r="G1224" s="79">
        <v>46191</v>
      </c>
      <c r="H1224">
        <v>11</v>
      </c>
    </row>
    <row r="1225" spans="1:8" x14ac:dyDescent="0.25">
      <c r="A1225" s="76">
        <v>46334</v>
      </c>
      <c r="B1225" s="78">
        <v>80</v>
      </c>
      <c r="C1225" s="78" t="s">
        <v>26</v>
      </c>
      <c r="D1225" t="s">
        <v>532</v>
      </c>
      <c r="E1225" s="77">
        <v>134100</v>
      </c>
      <c r="H1225">
        <v>6</v>
      </c>
    </row>
    <row r="1226" spans="1:8" x14ac:dyDescent="0.25">
      <c r="A1226" s="76">
        <v>46335</v>
      </c>
      <c r="B1226" s="78">
        <v>883</v>
      </c>
      <c r="C1226" s="78" t="s">
        <v>240</v>
      </c>
      <c r="D1226" t="s">
        <v>243</v>
      </c>
      <c r="E1226" s="77">
        <v>287300</v>
      </c>
      <c r="H1226">
        <v>16</v>
      </c>
    </row>
    <row r="1227" spans="1:8" x14ac:dyDescent="0.25">
      <c r="A1227" s="76">
        <v>46335</v>
      </c>
      <c r="B1227" s="78">
        <v>2861</v>
      </c>
      <c r="C1227" s="78" t="s">
        <v>26</v>
      </c>
      <c r="D1227" t="s">
        <v>340</v>
      </c>
      <c r="E1227" s="77">
        <v>308200</v>
      </c>
      <c r="H1227">
        <v>11</v>
      </c>
    </row>
    <row r="1228" spans="1:8" x14ac:dyDescent="0.25">
      <c r="A1228" s="76">
        <v>46336</v>
      </c>
      <c r="B1228" s="78">
        <v>2399</v>
      </c>
      <c r="C1228" s="78" t="s">
        <v>26</v>
      </c>
      <c r="D1228" t="s">
        <v>121</v>
      </c>
      <c r="E1228" s="77">
        <v>564700</v>
      </c>
      <c r="H1228">
        <v>18</v>
      </c>
    </row>
    <row r="1229" spans="1:8" x14ac:dyDescent="0.25">
      <c r="A1229" s="76">
        <v>46337</v>
      </c>
      <c r="B1229" s="78">
        <v>86</v>
      </c>
      <c r="C1229" s="78" t="s">
        <v>26</v>
      </c>
      <c r="D1229" t="s">
        <v>534</v>
      </c>
      <c r="E1229" s="77">
        <v>1021400</v>
      </c>
      <c r="H1229">
        <v>6</v>
      </c>
    </row>
    <row r="1230" spans="1:8" x14ac:dyDescent="0.25">
      <c r="A1230" s="76">
        <v>46340</v>
      </c>
      <c r="B1230" s="78">
        <v>2405</v>
      </c>
      <c r="C1230" s="78" t="s">
        <v>26</v>
      </c>
      <c r="D1230" t="s">
        <v>129</v>
      </c>
      <c r="E1230" s="77">
        <v>418100</v>
      </c>
      <c r="H1230">
        <v>18</v>
      </c>
    </row>
    <row r="1231" spans="1:8" x14ac:dyDescent="0.25">
      <c r="A1231" s="76">
        <v>46342</v>
      </c>
      <c r="B1231" s="78">
        <v>2878</v>
      </c>
      <c r="C1231" s="78" t="s">
        <v>26</v>
      </c>
      <c r="D1231" t="s">
        <v>361</v>
      </c>
      <c r="E1231" s="77">
        <v>965900</v>
      </c>
      <c r="H1231">
        <v>11</v>
      </c>
    </row>
    <row r="1232" spans="1:8" x14ac:dyDescent="0.25">
      <c r="A1232" s="76">
        <v>46343</v>
      </c>
      <c r="B1232" s="78">
        <v>2566</v>
      </c>
      <c r="C1232" s="78" t="s">
        <v>26</v>
      </c>
      <c r="D1232" t="s">
        <v>200</v>
      </c>
      <c r="E1232" s="77">
        <v>790200</v>
      </c>
      <c r="H1232">
        <v>16</v>
      </c>
    </row>
    <row r="1233" spans="1:8" x14ac:dyDescent="0.25">
      <c r="A1233" s="76">
        <v>46343</v>
      </c>
      <c r="B1233" s="78">
        <v>2967</v>
      </c>
      <c r="C1233" s="78" t="s">
        <v>26</v>
      </c>
      <c r="D1233" t="s">
        <v>396</v>
      </c>
      <c r="E1233" s="77">
        <v>989800</v>
      </c>
      <c r="H1233">
        <v>10</v>
      </c>
    </row>
    <row r="1234" spans="1:8" x14ac:dyDescent="0.25">
      <c r="A1234" s="76">
        <v>46343</v>
      </c>
      <c r="B1234" s="78">
        <v>2968</v>
      </c>
      <c r="C1234" s="78" t="s">
        <v>26</v>
      </c>
      <c r="D1234" t="s">
        <v>398</v>
      </c>
      <c r="E1234" s="77">
        <v>452200</v>
      </c>
      <c r="H1234">
        <v>10</v>
      </c>
    </row>
    <row r="1235" spans="1:8" x14ac:dyDescent="0.25">
      <c r="A1235" s="76">
        <v>46344</v>
      </c>
      <c r="B1235" s="78">
        <v>3060</v>
      </c>
      <c r="C1235" s="78" t="s">
        <v>26</v>
      </c>
      <c r="D1235" t="s">
        <v>432</v>
      </c>
      <c r="E1235" s="77">
        <v>623600</v>
      </c>
      <c r="H1235">
        <v>9</v>
      </c>
    </row>
    <row r="1236" spans="1:8" x14ac:dyDescent="0.25">
      <c r="A1236" s="76">
        <v>46344</v>
      </c>
      <c r="B1236" s="78">
        <v>31</v>
      </c>
      <c r="C1236" s="78" t="s">
        <v>26</v>
      </c>
      <c r="D1236" t="s">
        <v>501</v>
      </c>
      <c r="E1236" s="77">
        <v>581500</v>
      </c>
      <c r="H1236">
        <v>7</v>
      </c>
    </row>
    <row r="1237" spans="1:8" x14ac:dyDescent="0.25">
      <c r="A1237" s="76">
        <v>46345</v>
      </c>
      <c r="B1237" s="78">
        <v>2494</v>
      </c>
      <c r="C1237" s="78" t="s">
        <v>26</v>
      </c>
      <c r="D1237" t="s">
        <v>168</v>
      </c>
      <c r="E1237" s="77">
        <v>425600</v>
      </c>
      <c r="H1237">
        <v>17</v>
      </c>
    </row>
    <row r="1238" spans="1:8" x14ac:dyDescent="0.25">
      <c r="A1238" s="76">
        <v>46345</v>
      </c>
      <c r="B1238" s="78">
        <v>2637</v>
      </c>
      <c r="C1238" s="78" t="s">
        <v>26</v>
      </c>
      <c r="D1238" t="s">
        <v>221</v>
      </c>
      <c r="E1238" s="77">
        <v>663300</v>
      </c>
      <c r="H1238">
        <v>15</v>
      </c>
    </row>
    <row r="1239" spans="1:8" x14ac:dyDescent="0.25">
      <c r="A1239" s="76">
        <v>46345</v>
      </c>
      <c r="B1239" s="78">
        <v>2810</v>
      </c>
      <c r="C1239" s="78" t="s">
        <v>26</v>
      </c>
      <c r="D1239" t="s">
        <v>318</v>
      </c>
      <c r="E1239" s="77">
        <v>557500</v>
      </c>
      <c r="H1239">
        <v>12</v>
      </c>
    </row>
    <row r="1240" spans="1:8" x14ac:dyDescent="0.25">
      <c r="A1240" s="76">
        <v>46345</v>
      </c>
      <c r="B1240" s="78">
        <v>1110</v>
      </c>
      <c r="C1240" s="78" t="s">
        <v>240</v>
      </c>
      <c r="D1240" t="s">
        <v>419</v>
      </c>
      <c r="E1240" s="77">
        <v>751300</v>
      </c>
      <c r="H1240">
        <v>10</v>
      </c>
    </row>
    <row r="1241" spans="1:8" x14ac:dyDescent="0.25">
      <c r="A1241" s="76">
        <v>46345</v>
      </c>
      <c r="B1241" s="78">
        <v>3062</v>
      </c>
      <c r="C1241" s="78" t="s">
        <v>26</v>
      </c>
      <c r="D1241" t="s">
        <v>435</v>
      </c>
      <c r="E1241" s="77">
        <v>452200</v>
      </c>
      <c r="H1241">
        <v>9</v>
      </c>
    </row>
    <row r="1242" spans="1:8" hidden="1" x14ac:dyDescent="0.25">
      <c r="A1242" s="76">
        <v>46346</v>
      </c>
      <c r="B1242" s="78">
        <v>2498</v>
      </c>
      <c r="C1242" s="78" t="s">
        <v>26</v>
      </c>
      <c r="D1242" t="s">
        <v>153</v>
      </c>
      <c r="E1242" s="77">
        <v>904200</v>
      </c>
      <c r="F1242" s="77">
        <v>844073</v>
      </c>
      <c r="G1242" s="79">
        <v>46112</v>
      </c>
      <c r="H1242">
        <v>17</v>
      </c>
    </row>
    <row r="1243" spans="1:8" x14ac:dyDescent="0.25">
      <c r="A1243" s="76">
        <v>46346</v>
      </c>
      <c r="B1243" s="78">
        <v>2640</v>
      </c>
      <c r="C1243" s="78" t="s">
        <v>26</v>
      </c>
      <c r="D1243" t="s">
        <v>234</v>
      </c>
      <c r="E1243" s="77">
        <v>789900</v>
      </c>
      <c r="H1243">
        <v>15</v>
      </c>
    </row>
    <row r="1244" spans="1:8" x14ac:dyDescent="0.25">
      <c r="A1244" s="76">
        <v>46346</v>
      </c>
      <c r="B1244" s="78">
        <v>2973</v>
      </c>
      <c r="C1244" s="78" t="s">
        <v>26</v>
      </c>
      <c r="D1244" t="s">
        <v>400</v>
      </c>
      <c r="E1244" s="77">
        <v>696400</v>
      </c>
      <c r="H1244">
        <v>10</v>
      </c>
    </row>
    <row r="1245" spans="1:8" x14ac:dyDescent="0.25">
      <c r="A1245" s="76">
        <v>46346</v>
      </c>
      <c r="B1245" s="78">
        <v>3068</v>
      </c>
      <c r="C1245" s="78" t="s">
        <v>26</v>
      </c>
      <c r="D1245" t="s">
        <v>437</v>
      </c>
      <c r="E1245" s="77">
        <v>450400</v>
      </c>
      <c r="H1245">
        <v>9</v>
      </c>
    </row>
    <row r="1246" spans="1:8" x14ac:dyDescent="0.25">
      <c r="A1246" s="76">
        <v>46347</v>
      </c>
      <c r="B1246" s="78">
        <v>2500</v>
      </c>
      <c r="C1246" s="78" t="s">
        <v>26</v>
      </c>
      <c r="D1246" t="s">
        <v>155</v>
      </c>
      <c r="E1246" s="77">
        <v>600000</v>
      </c>
      <c r="H1246">
        <v>17</v>
      </c>
    </row>
    <row r="1247" spans="1:8" hidden="1" x14ac:dyDescent="0.25">
      <c r="A1247" s="76">
        <v>46347</v>
      </c>
      <c r="B1247" s="78">
        <v>2501</v>
      </c>
      <c r="C1247" s="78" t="s">
        <v>26</v>
      </c>
      <c r="D1247" t="s">
        <v>157</v>
      </c>
      <c r="E1247" s="77">
        <v>325300</v>
      </c>
      <c r="F1247" s="77">
        <v>303628</v>
      </c>
      <c r="G1247" s="79">
        <v>46112</v>
      </c>
      <c r="H1247">
        <v>17</v>
      </c>
    </row>
    <row r="1248" spans="1:8" x14ac:dyDescent="0.25">
      <c r="A1248" s="76">
        <v>46347</v>
      </c>
      <c r="B1248" s="78">
        <v>1112</v>
      </c>
      <c r="C1248" s="78" t="s">
        <v>240</v>
      </c>
      <c r="D1248" t="s">
        <v>467</v>
      </c>
      <c r="E1248" s="77">
        <v>649000</v>
      </c>
      <c r="H1248">
        <v>10</v>
      </c>
    </row>
    <row r="1249" spans="1:8" x14ac:dyDescent="0.25">
      <c r="A1249" s="76">
        <v>46348</v>
      </c>
      <c r="B1249" s="78">
        <v>2346</v>
      </c>
      <c r="C1249" s="78" t="s">
        <v>26</v>
      </c>
      <c r="D1249" t="s">
        <v>111</v>
      </c>
      <c r="E1249" s="77">
        <v>656200</v>
      </c>
      <c r="H1249">
        <v>19</v>
      </c>
    </row>
    <row r="1250" spans="1:8" x14ac:dyDescent="0.25">
      <c r="A1250" s="76">
        <v>46348</v>
      </c>
      <c r="B1250" s="78">
        <v>117</v>
      </c>
      <c r="C1250" s="78" t="s">
        <v>26</v>
      </c>
      <c r="D1250" t="s">
        <v>545</v>
      </c>
      <c r="E1250" s="77">
        <v>1030700</v>
      </c>
      <c r="H1250">
        <v>6</v>
      </c>
    </row>
    <row r="1251" spans="1:8" x14ac:dyDescent="0.25">
      <c r="A1251" s="76">
        <v>46349</v>
      </c>
      <c r="B1251" s="78">
        <v>45</v>
      </c>
      <c r="C1251" s="78" t="s">
        <v>26</v>
      </c>
      <c r="D1251" t="s">
        <v>519</v>
      </c>
      <c r="E1251" s="77">
        <v>658800</v>
      </c>
      <c r="H1251">
        <v>7</v>
      </c>
    </row>
    <row r="1252" spans="1:8" x14ac:dyDescent="0.25">
      <c r="A1252" s="76">
        <v>46349</v>
      </c>
      <c r="B1252" s="78">
        <v>47</v>
      </c>
      <c r="C1252" s="78" t="s">
        <v>26</v>
      </c>
      <c r="D1252" t="s">
        <v>522</v>
      </c>
      <c r="E1252" s="77">
        <v>304200</v>
      </c>
      <c r="H1252">
        <v>7</v>
      </c>
    </row>
    <row r="1253" spans="1:8" x14ac:dyDescent="0.25">
      <c r="A1253" s="76">
        <v>46349</v>
      </c>
      <c r="B1253" s="78">
        <v>119</v>
      </c>
      <c r="C1253" s="78" t="s">
        <v>26</v>
      </c>
      <c r="D1253" t="s">
        <v>546</v>
      </c>
      <c r="E1253" s="77">
        <v>803800</v>
      </c>
      <c r="H1253">
        <v>6</v>
      </c>
    </row>
    <row r="1254" spans="1:8" x14ac:dyDescent="0.25">
      <c r="A1254" s="76">
        <v>46350</v>
      </c>
      <c r="B1254" s="78">
        <v>2431</v>
      </c>
      <c r="C1254" s="78" t="s">
        <v>26</v>
      </c>
      <c r="D1254" t="s">
        <v>149</v>
      </c>
      <c r="E1254" s="77">
        <v>313900</v>
      </c>
      <c r="H1254">
        <v>18</v>
      </c>
    </row>
    <row r="1255" spans="1:8" x14ac:dyDescent="0.25">
      <c r="A1255" s="76">
        <v>46350</v>
      </c>
      <c r="B1255" s="78">
        <v>2817</v>
      </c>
      <c r="C1255" s="78" t="s">
        <v>26</v>
      </c>
      <c r="D1255" t="s">
        <v>320</v>
      </c>
      <c r="E1255" s="77">
        <v>841000</v>
      </c>
      <c r="H1255">
        <v>12</v>
      </c>
    </row>
    <row r="1256" spans="1:8" x14ac:dyDescent="0.25">
      <c r="A1256" s="76">
        <v>46350</v>
      </c>
      <c r="B1256" s="78">
        <v>2913</v>
      </c>
      <c r="C1256" s="78" t="s">
        <v>26</v>
      </c>
      <c r="D1256" t="s">
        <v>365</v>
      </c>
      <c r="E1256" s="77">
        <v>588800</v>
      </c>
      <c r="H1256">
        <v>11</v>
      </c>
    </row>
    <row r="1257" spans="1:8" x14ac:dyDescent="0.25">
      <c r="A1257" s="76">
        <v>46351</v>
      </c>
      <c r="B1257" s="78">
        <v>2511</v>
      </c>
      <c r="C1257" s="78" t="s">
        <v>26</v>
      </c>
      <c r="D1257" t="s">
        <v>171</v>
      </c>
      <c r="E1257" s="77">
        <v>712300</v>
      </c>
      <c r="H1257">
        <v>17</v>
      </c>
    </row>
    <row r="1258" spans="1:8" hidden="1" x14ac:dyDescent="0.25">
      <c r="A1258" s="76">
        <v>46351</v>
      </c>
      <c r="B1258" s="78">
        <v>2825</v>
      </c>
      <c r="C1258" s="78" t="s">
        <v>26</v>
      </c>
      <c r="D1258" t="s">
        <v>322</v>
      </c>
      <c r="E1258" s="77">
        <v>619100</v>
      </c>
      <c r="F1258" s="77">
        <v>619100</v>
      </c>
      <c r="G1258" s="79">
        <v>46174</v>
      </c>
      <c r="H1258">
        <v>12</v>
      </c>
    </row>
    <row r="1259" spans="1:8" x14ac:dyDescent="0.25">
      <c r="A1259" s="76">
        <v>46351</v>
      </c>
      <c r="B1259" s="78">
        <v>2828</v>
      </c>
      <c r="C1259" s="78" t="s">
        <v>26</v>
      </c>
      <c r="D1259" t="s">
        <v>309</v>
      </c>
      <c r="E1259" s="77">
        <v>441300</v>
      </c>
      <c r="H1259">
        <v>12</v>
      </c>
    </row>
    <row r="1260" spans="1:8" x14ac:dyDescent="0.25">
      <c r="A1260" s="76">
        <v>46351</v>
      </c>
      <c r="B1260" s="78">
        <v>3151</v>
      </c>
      <c r="C1260" s="78" t="s">
        <v>26</v>
      </c>
      <c r="D1260" t="s">
        <v>444</v>
      </c>
      <c r="E1260" s="77">
        <v>614700</v>
      </c>
      <c r="H1260">
        <v>8</v>
      </c>
    </row>
    <row r="1261" spans="1:8" x14ac:dyDescent="0.25">
      <c r="A1261" s="76">
        <v>46351</v>
      </c>
      <c r="B1261" s="78">
        <v>51</v>
      </c>
      <c r="C1261" s="78" t="s">
        <v>26</v>
      </c>
      <c r="D1261" t="s">
        <v>523</v>
      </c>
      <c r="E1261" s="77">
        <v>242200</v>
      </c>
      <c r="H1261">
        <v>7</v>
      </c>
    </row>
    <row r="1262" spans="1:8" x14ac:dyDescent="0.25">
      <c r="A1262" s="76">
        <v>46351</v>
      </c>
      <c r="B1262" s="78">
        <v>122</v>
      </c>
      <c r="C1262" s="78" t="s">
        <v>26</v>
      </c>
      <c r="D1262" t="s">
        <v>547</v>
      </c>
      <c r="E1262" s="77">
        <v>511200</v>
      </c>
      <c r="H1262">
        <v>6</v>
      </c>
    </row>
    <row r="1263" spans="1:8" x14ac:dyDescent="0.25">
      <c r="A1263" s="76">
        <v>46351</v>
      </c>
      <c r="B1263" s="78">
        <v>123</v>
      </c>
      <c r="C1263" s="78" t="s">
        <v>26</v>
      </c>
      <c r="D1263" t="s">
        <v>548</v>
      </c>
      <c r="E1263" s="77">
        <v>407700</v>
      </c>
      <c r="H1263">
        <v>6</v>
      </c>
    </row>
    <row r="1264" spans="1:8" x14ac:dyDescent="0.25">
      <c r="A1264" s="76">
        <v>46352</v>
      </c>
      <c r="B1264" s="78">
        <v>2515</v>
      </c>
      <c r="C1264" s="78" t="s">
        <v>26</v>
      </c>
      <c r="D1264" t="s">
        <v>174</v>
      </c>
      <c r="E1264" s="77">
        <v>804500</v>
      </c>
      <c r="H1264">
        <v>17</v>
      </c>
    </row>
    <row r="1265" spans="1:8" x14ac:dyDescent="0.25">
      <c r="A1265" s="76">
        <v>46352</v>
      </c>
      <c r="B1265" s="78">
        <v>2919</v>
      </c>
      <c r="C1265" s="78" t="s">
        <v>26</v>
      </c>
      <c r="D1265" t="s">
        <v>369</v>
      </c>
      <c r="E1265" s="77">
        <v>440800</v>
      </c>
      <c r="H1265">
        <v>11</v>
      </c>
    </row>
    <row r="1266" spans="1:8" x14ac:dyDescent="0.25">
      <c r="A1266" s="76">
        <v>46352</v>
      </c>
      <c r="B1266" s="78">
        <v>3157</v>
      </c>
      <c r="C1266" s="78" t="s">
        <v>26</v>
      </c>
      <c r="D1266" t="s">
        <v>447</v>
      </c>
      <c r="E1266" s="77">
        <v>407700</v>
      </c>
      <c r="H1266">
        <v>8</v>
      </c>
    </row>
    <row r="1267" spans="1:8" x14ac:dyDescent="0.25">
      <c r="A1267" s="76">
        <v>46352</v>
      </c>
      <c r="B1267" s="78">
        <v>125</v>
      </c>
      <c r="C1267" s="78" t="s">
        <v>26</v>
      </c>
      <c r="D1267" t="s">
        <v>549</v>
      </c>
      <c r="E1267" s="77">
        <v>922100</v>
      </c>
      <c r="H1267">
        <v>6</v>
      </c>
    </row>
    <row r="1268" spans="1:8" x14ac:dyDescent="0.25">
      <c r="A1268" s="76">
        <v>46352</v>
      </c>
      <c r="B1268" s="78">
        <v>128</v>
      </c>
      <c r="C1268" s="78" t="s">
        <v>26</v>
      </c>
      <c r="D1268" t="s">
        <v>550</v>
      </c>
      <c r="E1268" s="77">
        <v>792800</v>
      </c>
      <c r="H1268">
        <v>6</v>
      </c>
    </row>
    <row r="1269" spans="1:8" x14ac:dyDescent="0.25">
      <c r="A1269" s="76">
        <v>46353</v>
      </c>
      <c r="B1269" s="78">
        <v>3082</v>
      </c>
      <c r="C1269" s="78" t="s">
        <v>26</v>
      </c>
      <c r="D1269" t="s">
        <v>439</v>
      </c>
      <c r="E1269" s="77">
        <v>672000</v>
      </c>
      <c r="H1269">
        <v>9</v>
      </c>
    </row>
    <row r="1270" spans="1:8" x14ac:dyDescent="0.25">
      <c r="A1270" s="76">
        <v>46354</v>
      </c>
      <c r="B1270" s="78">
        <v>2517</v>
      </c>
      <c r="C1270" s="78" t="s">
        <v>26</v>
      </c>
      <c r="D1270" t="s">
        <v>176</v>
      </c>
      <c r="E1270" s="77">
        <v>728700</v>
      </c>
      <c r="H1270">
        <v>17</v>
      </c>
    </row>
    <row r="1271" spans="1:8" hidden="1" x14ac:dyDescent="0.25">
      <c r="A1271" s="76">
        <v>46355</v>
      </c>
      <c r="B1271" s="78">
        <v>2588</v>
      </c>
      <c r="C1271" s="78" t="s">
        <v>26</v>
      </c>
      <c r="D1271" t="s">
        <v>201</v>
      </c>
      <c r="E1271" s="77">
        <v>792000</v>
      </c>
      <c r="F1271" s="77">
        <v>714350</v>
      </c>
      <c r="G1271" s="79">
        <v>45976</v>
      </c>
      <c r="H1271">
        <v>16</v>
      </c>
    </row>
    <row r="1272" spans="1:8" hidden="1" x14ac:dyDescent="0.25">
      <c r="A1272" s="76">
        <v>46355</v>
      </c>
      <c r="B1272" s="78">
        <v>912</v>
      </c>
      <c r="C1272" s="78" t="s">
        <v>240</v>
      </c>
      <c r="D1272" t="s">
        <v>241</v>
      </c>
      <c r="E1272" s="77">
        <v>605800</v>
      </c>
      <c r="F1272" s="77">
        <v>546376</v>
      </c>
      <c r="G1272" s="79">
        <v>45996</v>
      </c>
      <c r="H1272">
        <v>16</v>
      </c>
    </row>
    <row r="1273" spans="1:8" x14ac:dyDescent="0.25">
      <c r="A1273" s="76">
        <v>46354</v>
      </c>
      <c r="B1273" s="78">
        <v>2990</v>
      </c>
      <c r="C1273" s="78" t="s">
        <v>26</v>
      </c>
      <c r="D1273" t="s">
        <v>412</v>
      </c>
      <c r="E1273" s="77">
        <v>1028500</v>
      </c>
      <c r="H1273">
        <v>10</v>
      </c>
    </row>
    <row r="1274" spans="1:8" x14ac:dyDescent="0.25">
      <c r="A1274" s="76">
        <v>46354</v>
      </c>
      <c r="B1274" s="78">
        <v>3086</v>
      </c>
      <c r="C1274" s="78" t="s">
        <v>26</v>
      </c>
      <c r="D1274" t="s">
        <v>441</v>
      </c>
      <c r="E1274" s="77">
        <v>407700</v>
      </c>
      <c r="H1274">
        <v>9</v>
      </c>
    </row>
    <row r="1275" spans="1:8" x14ac:dyDescent="0.25">
      <c r="A1275" s="76">
        <v>46356</v>
      </c>
      <c r="B1275" s="78">
        <v>2936</v>
      </c>
      <c r="C1275" s="78" t="s">
        <v>26</v>
      </c>
      <c r="D1275" t="s">
        <v>372</v>
      </c>
      <c r="E1275" s="77">
        <v>488500</v>
      </c>
      <c r="H1275">
        <v>11</v>
      </c>
    </row>
    <row r="1276" spans="1:8" x14ac:dyDescent="0.25">
      <c r="A1276" s="76">
        <v>46356</v>
      </c>
      <c r="B1276" s="78">
        <v>3008</v>
      </c>
      <c r="C1276" s="78" t="s">
        <v>26</v>
      </c>
      <c r="D1276" t="s">
        <v>430</v>
      </c>
      <c r="E1276" s="77">
        <v>813500</v>
      </c>
      <c r="H1276">
        <v>10</v>
      </c>
    </row>
    <row r="1277" spans="1:8" x14ac:dyDescent="0.25">
      <c r="A1277" s="76">
        <v>46356</v>
      </c>
      <c r="B1277" s="78">
        <v>3168</v>
      </c>
      <c r="C1277" s="78" t="s">
        <v>26</v>
      </c>
      <c r="D1277" t="s">
        <v>449</v>
      </c>
      <c r="E1277" s="77">
        <v>659900</v>
      </c>
      <c r="H1277">
        <v>8</v>
      </c>
    </row>
    <row r="1278" spans="1:8" x14ac:dyDescent="0.25">
      <c r="A1278" s="76">
        <v>46356</v>
      </c>
      <c r="B1278" s="78">
        <v>3172</v>
      </c>
      <c r="C1278" s="78" t="s">
        <v>26</v>
      </c>
      <c r="D1278" t="s">
        <v>451</v>
      </c>
      <c r="E1278" s="77">
        <v>645700</v>
      </c>
      <c r="H1278">
        <v>8</v>
      </c>
    </row>
    <row r="1279" spans="1:8" x14ac:dyDescent="0.25">
      <c r="A1279" s="76">
        <v>46356</v>
      </c>
      <c r="B1279" s="78">
        <v>65</v>
      </c>
      <c r="C1279" s="78" t="s">
        <v>26</v>
      </c>
      <c r="D1279" t="s">
        <v>527</v>
      </c>
      <c r="E1279" s="77">
        <v>353500</v>
      </c>
      <c r="H1279">
        <v>7</v>
      </c>
    </row>
    <row r="1280" spans="1:8" x14ac:dyDescent="0.25">
      <c r="A1280" s="76">
        <v>46356</v>
      </c>
      <c r="B1280" s="78">
        <v>217</v>
      </c>
      <c r="C1280" s="78" t="s">
        <v>26</v>
      </c>
      <c r="D1280" t="s">
        <v>581</v>
      </c>
      <c r="E1280" s="77">
        <v>614700</v>
      </c>
      <c r="H1280">
        <v>5</v>
      </c>
    </row>
    <row r="1281" spans="1:8" x14ac:dyDescent="0.25">
      <c r="A1281" s="76">
        <v>46358</v>
      </c>
      <c r="B1281" s="78">
        <v>154</v>
      </c>
      <c r="C1281" s="78" t="s">
        <v>26</v>
      </c>
      <c r="D1281" t="s">
        <v>553</v>
      </c>
      <c r="E1281" s="77">
        <v>379100</v>
      </c>
      <c r="H1281">
        <v>6</v>
      </c>
    </row>
    <row r="1282" spans="1:8" x14ac:dyDescent="0.25">
      <c r="A1282" s="76">
        <v>46359</v>
      </c>
      <c r="B1282" s="78">
        <v>2520</v>
      </c>
      <c r="C1282" s="78" t="s">
        <v>26</v>
      </c>
      <c r="D1282" t="s">
        <v>196</v>
      </c>
      <c r="E1282" s="77">
        <v>481700</v>
      </c>
      <c r="H1282">
        <v>17</v>
      </c>
    </row>
    <row r="1283" spans="1:8" x14ac:dyDescent="0.25">
      <c r="A1283" s="76">
        <v>46359</v>
      </c>
      <c r="B1283" s="78">
        <v>2847</v>
      </c>
      <c r="C1283" s="78" t="s">
        <v>26</v>
      </c>
      <c r="D1283" t="s">
        <v>330</v>
      </c>
      <c r="E1283" s="77">
        <v>419300</v>
      </c>
      <c r="H1283">
        <v>12</v>
      </c>
    </row>
    <row r="1284" spans="1:8" x14ac:dyDescent="0.25">
      <c r="A1284" s="76">
        <v>46360</v>
      </c>
      <c r="B1284" s="78">
        <v>2849</v>
      </c>
      <c r="C1284" s="78" t="s">
        <v>26</v>
      </c>
      <c r="D1284" t="s">
        <v>334</v>
      </c>
      <c r="E1284" s="77">
        <v>365300</v>
      </c>
      <c r="H1284">
        <v>12</v>
      </c>
    </row>
    <row r="1285" spans="1:8" x14ac:dyDescent="0.25">
      <c r="A1285" s="76">
        <v>46360</v>
      </c>
      <c r="B1285" s="78">
        <v>2850</v>
      </c>
      <c r="C1285" s="78" t="s">
        <v>26</v>
      </c>
      <c r="D1285" t="s">
        <v>332</v>
      </c>
      <c r="E1285" s="77">
        <v>615100</v>
      </c>
      <c r="H1285">
        <v>12</v>
      </c>
    </row>
    <row r="1286" spans="1:8" x14ac:dyDescent="0.25">
      <c r="A1286" s="76">
        <v>46360</v>
      </c>
      <c r="B1286" s="78">
        <v>2</v>
      </c>
      <c r="C1286" s="78" t="s">
        <v>26</v>
      </c>
      <c r="D1286" t="s">
        <v>457</v>
      </c>
      <c r="E1286" s="77">
        <v>614700</v>
      </c>
      <c r="H1286">
        <v>8</v>
      </c>
    </row>
    <row r="1287" spans="1:8" x14ac:dyDescent="0.25">
      <c r="A1287" s="76">
        <v>46361</v>
      </c>
      <c r="B1287" s="78">
        <v>3099</v>
      </c>
      <c r="C1287" s="78" t="s">
        <v>26</v>
      </c>
      <c r="D1287" t="s">
        <v>443</v>
      </c>
      <c r="E1287" s="77">
        <v>614700</v>
      </c>
      <c r="H1287">
        <v>9</v>
      </c>
    </row>
    <row r="1288" spans="1:8" x14ac:dyDescent="0.25">
      <c r="A1288" s="76">
        <v>46361</v>
      </c>
      <c r="B1288" s="78">
        <v>72</v>
      </c>
      <c r="C1288" s="78" t="s">
        <v>26</v>
      </c>
      <c r="D1288" t="s">
        <v>529</v>
      </c>
      <c r="E1288" s="77">
        <v>450400</v>
      </c>
      <c r="H1288">
        <v>7</v>
      </c>
    </row>
    <row r="1289" spans="1:8" x14ac:dyDescent="0.25">
      <c r="A1289" s="76">
        <v>46361</v>
      </c>
      <c r="B1289" s="78">
        <v>73</v>
      </c>
      <c r="C1289" s="78" t="s">
        <v>26</v>
      </c>
      <c r="D1289" t="s">
        <v>530</v>
      </c>
      <c r="E1289" s="77">
        <v>468900</v>
      </c>
      <c r="H1289">
        <v>7</v>
      </c>
    </row>
    <row r="1290" spans="1:8" x14ac:dyDescent="0.25">
      <c r="A1290" s="76">
        <v>46362</v>
      </c>
      <c r="B1290" s="78">
        <v>2858</v>
      </c>
      <c r="C1290" s="78" t="s">
        <v>26</v>
      </c>
      <c r="D1290" t="s">
        <v>336</v>
      </c>
      <c r="E1290" s="77">
        <v>779300</v>
      </c>
      <c r="H1290">
        <v>12</v>
      </c>
    </row>
    <row r="1291" spans="1:8" x14ac:dyDescent="0.25">
      <c r="A1291" s="76">
        <v>46362</v>
      </c>
      <c r="B1291" s="78">
        <v>2948</v>
      </c>
      <c r="C1291" s="78" t="s">
        <v>26</v>
      </c>
      <c r="D1291" t="s">
        <v>379</v>
      </c>
      <c r="E1291" s="77">
        <v>298000</v>
      </c>
      <c r="H1291">
        <v>11</v>
      </c>
    </row>
    <row r="1292" spans="1:8" x14ac:dyDescent="0.25">
      <c r="A1292" s="76">
        <v>46362</v>
      </c>
      <c r="B1292" s="78">
        <v>5</v>
      </c>
      <c r="C1292" s="78" t="s">
        <v>26</v>
      </c>
      <c r="D1292" t="s">
        <v>461</v>
      </c>
      <c r="E1292" s="77">
        <v>714200</v>
      </c>
      <c r="H1292">
        <v>8</v>
      </c>
    </row>
    <row r="1293" spans="1:8" x14ac:dyDescent="0.25">
      <c r="A1293" s="76">
        <v>46362</v>
      </c>
      <c r="B1293" s="78">
        <v>157</v>
      </c>
      <c r="C1293" s="78" t="s">
        <v>26</v>
      </c>
      <c r="D1293" t="s">
        <v>569</v>
      </c>
      <c r="E1293" s="77">
        <v>1850200</v>
      </c>
      <c r="H1293">
        <v>6</v>
      </c>
    </row>
    <row r="1294" spans="1:8" x14ac:dyDescent="0.25">
      <c r="A1294" s="76">
        <v>46362</v>
      </c>
      <c r="B1294" s="78">
        <v>232</v>
      </c>
      <c r="C1294" s="78" t="s">
        <v>26</v>
      </c>
      <c r="D1294" t="s">
        <v>591</v>
      </c>
      <c r="E1294" s="77">
        <v>892100</v>
      </c>
      <c r="H1294">
        <v>5</v>
      </c>
    </row>
    <row r="1295" spans="1:8" x14ac:dyDescent="0.25">
      <c r="A1295" s="76">
        <v>46363</v>
      </c>
      <c r="B1295" s="78">
        <v>78</v>
      </c>
      <c r="C1295" s="78" t="s">
        <v>26</v>
      </c>
      <c r="D1295" t="s">
        <v>531</v>
      </c>
      <c r="E1295" s="77">
        <v>614700</v>
      </c>
      <c r="H1295">
        <v>7</v>
      </c>
    </row>
    <row r="1296" spans="1:8" hidden="1" x14ac:dyDescent="0.25">
      <c r="A1296" s="76">
        <v>46364</v>
      </c>
      <c r="B1296" s="78">
        <v>2860</v>
      </c>
      <c r="C1296" s="78" t="s">
        <v>26</v>
      </c>
      <c r="D1296" t="s">
        <v>338</v>
      </c>
      <c r="E1296" s="77">
        <v>1218500</v>
      </c>
      <c r="F1296" s="77">
        <v>1177317</v>
      </c>
      <c r="G1296" s="79">
        <v>46191</v>
      </c>
      <c r="H1296">
        <v>12</v>
      </c>
    </row>
    <row r="1297" spans="1:8" x14ac:dyDescent="0.25">
      <c r="A1297" s="76">
        <v>46364</v>
      </c>
      <c r="B1297" s="78">
        <v>80</v>
      </c>
      <c r="C1297" s="78" t="s">
        <v>26</v>
      </c>
      <c r="D1297" t="s">
        <v>532</v>
      </c>
      <c r="E1297" s="77">
        <v>134100</v>
      </c>
      <c r="H1297">
        <v>7</v>
      </c>
    </row>
    <row r="1298" spans="1:8" x14ac:dyDescent="0.25">
      <c r="A1298" s="76">
        <v>46365</v>
      </c>
      <c r="B1298" s="78">
        <v>883</v>
      </c>
      <c r="C1298" s="78" t="s">
        <v>240</v>
      </c>
      <c r="D1298" t="s">
        <v>243</v>
      </c>
      <c r="E1298" s="77">
        <v>287300</v>
      </c>
      <c r="H1298">
        <v>17</v>
      </c>
    </row>
    <row r="1299" spans="1:8" x14ac:dyDescent="0.25">
      <c r="A1299" s="76">
        <v>46365</v>
      </c>
      <c r="B1299" s="78">
        <v>2861</v>
      </c>
      <c r="C1299" s="78" t="s">
        <v>26</v>
      </c>
      <c r="D1299" t="s">
        <v>340</v>
      </c>
      <c r="E1299" s="77">
        <v>308200</v>
      </c>
      <c r="H1299">
        <v>12</v>
      </c>
    </row>
    <row r="1300" spans="1:8" x14ac:dyDescent="0.25">
      <c r="A1300" s="76">
        <v>46367</v>
      </c>
      <c r="B1300" s="78">
        <v>86</v>
      </c>
      <c r="C1300" s="78" t="s">
        <v>26</v>
      </c>
      <c r="D1300" t="s">
        <v>534</v>
      </c>
      <c r="E1300" s="77">
        <v>1021400</v>
      </c>
      <c r="H1300">
        <v>7</v>
      </c>
    </row>
    <row r="1301" spans="1:8" x14ac:dyDescent="0.25">
      <c r="A1301" s="76">
        <v>46372</v>
      </c>
      <c r="B1301" s="78">
        <v>2878</v>
      </c>
      <c r="C1301" s="78" t="s">
        <v>26</v>
      </c>
      <c r="D1301" t="s">
        <v>361</v>
      </c>
      <c r="E1301" s="77">
        <v>965900</v>
      </c>
      <c r="H1301">
        <v>12</v>
      </c>
    </row>
    <row r="1302" spans="1:8" x14ac:dyDescent="0.25">
      <c r="A1302" s="76">
        <v>46373</v>
      </c>
      <c r="B1302" s="78">
        <v>2566</v>
      </c>
      <c r="C1302" s="78" t="s">
        <v>26</v>
      </c>
      <c r="D1302" t="s">
        <v>200</v>
      </c>
      <c r="E1302" s="77">
        <v>790200</v>
      </c>
      <c r="H1302">
        <v>17</v>
      </c>
    </row>
    <row r="1303" spans="1:8" x14ac:dyDescent="0.25">
      <c r="A1303" s="76">
        <v>46373</v>
      </c>
      <c r="B1303" s="78">
        <v>2967</v>
      </c>
      <c r="C1303" s="78" t="s">
        <v>26</v>
      </c>
      <c r="D1303" t="s">
        <v>396</v>
      </c>
      <c r="E1303" s="77">
        <v>989800</v>
      </c>
      <c r="H1303">
        <v>11</v>
      </c>
    </row>
    <row r="1304" spans="1:8" x14ac:dyDescent="0.25">
      <c r="A1304" s="76">
        <v>46373</v>
      </c>
      <c r="B1304" s="78">
        <v>2968</v>
      </c>
      <c r="C1304" s="78" t="s">
        <v>26</v>
      </c>
      <c r="D1304" t="s">
        <v>398</v>
      </c>
      <c r="E1304" s="77">
        <v>452200</v>
      </c>
      <c r="H1304">
        <v>11</v>
      </c>
    </row>
    <row r="1305" spans="1:8" x14ac:dyDescent="0.25">
      <c r="A1305" s="76">
        <v>46374</v>
      </c>
      <c r="B1305" s="78">
        <v>3060</v>
      </c>
      <c r="C1305" s="78" t="s">
        <v>26</v>
      </c>
      <c r="D1305" t="s">
        <v>432</v>
      </c>
      <c r="E1305" s="77">
        <v>623600</v>
      </c>
      <c r="H1305">
        <v>10</v>
      </c>
    </row>
    <row r="1306" spans="1:8" x14ac:dyDescent="0.25">
      <c r="A1306" s="76">
        <v>46374</v>
      </c>
      <c r="B1306" s="78">
        <v>31</v>
      </c>
      <c r="C1306" s="78" t="s">
        <v>26</v>
      </c>
      <c r="D1306" t="s">
        <v>501</v>
      </c>
      <c r="E1306" s="77">
        <v>581500</v>
      </c>
      <c r="H1306">
        <v>8</v>
      </c>
    </row>
    <row r="1307" spans="1:8" x14ac:dyDescent="0.25">
      <c r="A1307" s="76">
        <v>46375</v>
      </c>
      <c r="B1307" s="78">
        <v>2494</v>
      </c>
      <c r="C1307" s="78" t="s">
        <v>26</v>
      </c>
      <c r="D1307" t="s">
        <v>168</v>
      </c>
      <c r="E1307" s="77">
        <v>425600</v>
      </c>
      <c r="H1307">
        <v>18</v>
      </c>
    </row>
    <row r="1308" spans="1:8" x14ac:dyDescent="0.25">
      <c r="A1308" s="76">
        <v>46375</v>
      </c>
      <c r="B1308" s="78">
        <v>2637</v>
      </c>
      <c r="C1308" s="78" t="s">
        <v>26</v>
      </c>
      <c r="D1308" t="s">
        <v>221</v>
      </c>
      <c r="E1308" s="77">
        <v>663300</v>
      </c>
      <c r="H1308">
        <v>16</v>
      </c>
    </row>
    <row r="1309" spans="1:8" x14ac:dyDescent="0.25">
      <c r="A1309" s="76">
        <v>46375</v>
      </c>
      <c r="B1309" s="78">
        <v>2810</v>
      </c>
      <c r="C1309" s="78" t="s">
        <v>26</v>
      </c>
      <c r="D1309" t="s">
        <v>318</v>
      </c>
      <c r="E1309" s="77">
        <v>557500</v>
      </c>
      <c r="H1309">
        <v>13</v>
      </c>
    </row>
    <row r="1310" spans="1:8" x14ac:dyDescent="0.25">
      <c r="A1310" s="76">
        <v>46375</v>
      </c>
      <c r="B1310" s="78">
        <v>1110</v>
      </c>
      <c r="C1310" s="78" t="s">
        <v>240</v>
      </c>
      <c r="D1310" t="s">
        <v>419</v>
      </c>
      <c r="E1310" s="77">
        <v>751300</v>
      </c>
      <c r="H1310">
        <v>11</v>
      </c>
    </row>
    <row r="1311" spans="1:8" x14ac:dyDescent="0.25">
      <c r="A1311" s="76">
        <v>46375</v>
      </c>
      <c r="B1311" s="78">
        <v>3062</v>
      </c>
      <c r="C1311" s="78" t="s">
        <v>26</v>
      </c>
      <c r="D1311" t="s">
        <v>435</v>
      </c>
      <c r="E1311" s="77">
        <v>452200</v>
      </c>
      <c r="H1311">
        <v>10</v>
      </c>
    </row>
    <row r="1312" spans="1:8" hidden="1" x14ac:dyDescent="0.25">
      <c r="A1312" s="76">
        <v>46376</v>
      </c>
      <c r="B1312" s="78">
        <v>2498</v>
      </c>
      <c r="C1312" s="78" t="s">
        <v>26</v>
      </c>
      <c r="D1312" t="s">
        <v>153</v>
      </c>
      <c r="E1312" s="77">
        <v>904200</v>
      </c>
      <c r="F1312" s="77">
        <v>873615</v>
      </c>
      <c r="G1312" s="79">
        <v>46112</v>
      </c>
      <c r="H1312">
        <v>18</v>
      </c>
    </row>
    <row r="1313" spans="1:8" x14ac:dyDescent="0.25">
      <c r="A1313" s="76">
        <v>46376</v>
      </c>
      <c r="B1313" s="78">
        <v>2640</v>
      </c>
      <c r="C1313" s="78" t="s">
        <v>26</v>
      </c>
      <c r="D1313" t="s">
        <v>234</v>
      </c>
      <c r="E1313" s="77">
        <v>789900</v>
      </c>
      <c r="H1313">
        <v>16</v>
      </c>
    </row>
    <row r="1314" spans="1:8" x14ac:dyDescent="0.25">
      <c r="A1314" s="76">
        <v>46376</v>
      </c>
      <c r="B1314" s="78">
        <v>2973</v>
      </c>
      <c r="C1314" s="78" t="s">
        <v>26</v>
      </c>
      <c r="D1314" t="s">
        <v>400</v>
      </c>
      <c r="E1314" s="77">
        <v>696400</v>
      </c>
      <c r="H1314">
        <v>11</v>
      </c>
    </row>
    <row r="1315" spans="1:8" x14ac:dyDescent="0.25">
      <c r="A1315" s="76">
        <v>46376</v>
      </c>
      <c r="B1315" s="78">
        <v>3068</v>
      </c>
      <c r="C1315" s="78" t="s">
        <v>26</v>
      </c>
      <c r="D1315" t="s">
        <v>437</v>
      </c>
      <c r="E1315" s="77">
        <v>450400</v>
      </c>
      <c r="H1315">
        <v>10</v>
      </c>
    </row>
    <row r="1316" spans="1:8" x14ac:dyDescent="0.25">
      <c r="A1316" s="76">
        <v>46377</v>
      </c>
      <c r="B1316" s="78">
        <v>2500</v>
      </c>
      <c r="C1316" s="78" t="s">
        <v>26</v>
      </c>
      <c r="D1316" t="s">
        <v>155</v>
      </c>
      <c r="E1316" s="77">
        <v>600000</v>
      </c>
      <c r="H1316">
        <v>18</v>
      </c>
    </row>
    <row r="1317" spans="1:8" hidden="1" x14ac:dyDescent="0.25">
      <c r="A1317" s="76">
        <v>46377</v>
      </c>
      <c r="B1317" s="78">
        <v>2501</v>
      </c>
      <c r="C1317" s="78" t="s">
        <v>26</v>
      </c>
      <c r="D1317" t="s">
        <v>157</v>
      </c>
      <c r="E1317" s="77">
        <v>325300</v>
      </c>
      <c r="F1317" s="77">
        <v>314255</v>
      </c>
      <c r="G1317" s="79">
        <v>46112</v>
      </c>
      <c r="H1317">
        <v>18</v>
      </c>
    </row>
    <row r="1318" spans="1:8" x14ac:dyDescent="0.25">
      <c r="A1318" s="76">
        <v>46377</v>
      </c>
      <c r="B1318" s="78">
        <v>1112</v>
      </c>
      <c r="C1318" s="78" t="s">
        <v>240</v>
      </c>
      <c r="D1318" t="s">
        <v>467</v>
      </c>
      <c r="E1318" s="77">
        <v>649000</v>
      </c>
      <c r="H1318">
        <v>11</v>
      </c>
    </row>
    <row r="1319" spans="1:8" x14ac:dyDescent="0.25">
      <c r="A1319" s="76">
        <v>46378</v>
      </c>
      <c r="B1319" s="78">
        <v>2346</v>
      </c>
      <c r="C1319" s="78" t="s">
        <v>26</v>
      </c>
      <c r="D1319" t="s">
        <v>111</v>
      </c>
      <c r="E1319" s="77">
        <v>656200</v>
      </c>
      <c r="H1319">
        <v>20</v>
      </c>
    </row>
    <row r="1320" spans="1:8" x14ac:dyDescent="0.25">
      <c r="A1320" s="76">
        <v>46379</v>
      </c>
      <c r="B1320" s="78">
        <v>45</v>
      </c>
      <c r="C1320" s="78" t="s">
        <v>26</v>
      </c>
      <c r="D1320" t="s">
        <v>519</v>
      </c>
      <c r="E1320" s="77">
        <v>658800</v>
      </c>
      <c r="H1320">
        <v>8</v>
      </c>
    </row>
    <row r="1321" spans="1:8" x14ac:dyDescent="0.25">
      <c r="A1321" s="76">
        <v>46379</v>
      </c>
      <c r="B1321" s="78">
        <v>47</v>
      </c>
      <c r="C1321" s="78" t="s">
        <v>26</v>
      </c>
      <c r="D1321" t="s">
        <v>522</v>
      </c>
      <c r="E1321" s="77">
        <v>304200</v>
      </c>
      <c r="H1321">
        <v>8</v>
      </c>
    </row>
    <row r="1322" spans="1:8" x14ac:dyDescent="0.25">
      <c r="A1322" s="76">
        <v>46379</v>
      </c>
      <c r="B1322" s="78">
        <v>119</v>
      </c>
      <c r="C1322" s="78" t="s">
        <v>26</v>
      </c>
      <c r="D1322" t="s">
        <v>546</v>
      </c>
      <c r="E1322" s="77">
        <v>803800</v>
      </c>
      <c r="H1322">
        <v>7</v>
      </c>
    </row>
    <row r="1323" spans="1:8" x14ac:dyDescent="0.25">
      <c r="A1323" s="76">
        <v>46380</v>
      </c>
      <c r="B1323" s="78">
        <v>2913</v>
      </c>
      <c r="C1323" s="78" t="s">
        <v>26</v>
      </c>
      <c r="D1323" t="s">
        <v>365</v>
      </c>
      <c r="E1323" s="77">
        <v>588800</v>
      </c>
      <c r="H1323">
        <v>12</v>
      </c>
    </row>
    <row r="1324" spans="1:8" x14ac:dyDescent="0.25">
      <c r="A1324" s="76">
        <v>46381</v>
      </c>
      <c r="B1324" s="78">
        <v>2511</v>
      </c>
      <c r="C1324" s="78" t="s">
        <v>26</v>
      </c>
      <c r="D1324" t="s">
        <v>171</v>
      </c>
      <c r="E1324" s="77">
        <v>712300</v>
      </c>
      <c r="H1324">
        <v>18</v>
      </c>
    </row>
    <row r="1325" spans="1:8" x14ac:dyDescent="0.25">
      <c r="A1325" s="76">
        <v>46381</v>
      </c>
      <c r="B1325" s="78">
        <v>2828</v>
      </c>
      <c r="C1325" s="78" t="s">
        <v>26</v>
      </c>
      <c r="D1325" t="s">
        <v>309</v>
      </c>
      <c r="E1325" s="77">
        <v>441300</v>
      </c>
      <c r="H1325">
        <v>13</v>
      </c>
    </row>
    <row r="1326" spans="1:8" x14ac:dyDescent="0.25">
      <c r="A1326" s="76">
        <v>46381</v>
      </c>
      <c r="B1326" s="78">
        <v>3151</v>
      </c>
      <c r="C1326" s="78" t="s">
        <v>26</v>
      </c>
      <c r="D1326" t="s">
        <v>444</v>
      </c>
      <c r="E1326" s="77">
        <v>614700</v>
      </c>
      <c r="H1326">
        <v>9</v>
      </c>
    </row>
    <row r="1327" spans="1:8" x14ac:dyDescent="0.25">
      <c r="A1327" s="76">
        <v>46381</v>
      </c>
      <c r="B1327" s="78">
        <v>51</v>
      </c>
      <c r="C1327" s="78" t="s">
        <v>26</v>
      </c>
      <c r="D1327" t="s">
        <v>523</v>
      </c>
      <c r="E1327" s="77">
        <v>242200</v>
      </c>
      <c r="H1327">
        <v>8</v>
      </c>
    </row>
    <row r="1328" spans="1:8" x14ac:dyDescent="0.25">
      <c r="A1328" s="76">
        <v>46381</v>
      </c>
      <c r="B1328" s="78">
        <v>122</v>
      </c>
      <c r="C1328" s="78" t="s">
        <v>26</v>
      </c>
      <c r="D1328" t="s">
        <v>547</v>
      </c>
      <c r="E1328" s="77">
        <v>511200</v>
      </c>
      <c r="H1328">
        <v>7</v>
      </c>
    </row>
    <row r="1329" spans="1:8" x14ac:dyDescent="0.25">
      <c r="A1329" s="76">
        <v>46381</v>
      </c>
      <c r="B1329" s="78">
        <v>123</v>
      </c>
      <c r="C1329" s="78" t="s">
        <v>26</v>
      </c>
      <c r="D1329" t="s">
        <v>548</v>
      </c>
      <c r="E1329" s="77">
        <v>407700</v>
      </c>
      <c r="H1329">
        <v>7</v>
      </c>
    </row>
    <row r="1330" spans="1:8" x14ac:dyDescent="0.25">
      <c r="A1330" s="76">
        <v>46382</v>
      </c>
      <c r="B1330" s="78">
        <v>2515</v>
      </c>
      <c r="C1330" s="78" t="s">
        <v>26</v>
      </c>
      <c r="D1330" t="s">
        <v>174</v>
      </c>
      <c r="E1330" s="77">
        <v>804500</v>
      </c>
      <c r="H1330">
        <v>18</v>
      </c>
    </row>
    <row r="1331" spans="1:8" x14ac:dyDescent="0.25">
      <c r="A1331" s="76">
        <v>46382</v>
      </c>
      <c r="B1331" s="78">
        <v>2919</v>
      </c>
      <c r="C1331" s="78" t="s">
        <v>26</v>
      </c>
      <c r="D1331" t="s">
        <v>369</v>
      </c>
      <c r="E1331" s="77">
        <v>440800</v>
      </c>
      <c r="H1331">
        <v>12</v>
      </c>
    </row>
    <row r="1332" spans="1:8" x14ac:dyDescent="0.25">
      <c r="A1332" s="76">
        <v>46382</v>
      </c>
      <c r="B1332" s="78">
        <v>3157</v>
      </c>
      <c r="C1332" s="78" t="s">
        <v>26</v>
      </c>
      <c r="D1332" t="s">
        <v>447</v>
      </c>
      <c r="E1332" s="77">
        <v>407700</v>
      </c>
      <c r="H1332">
        <v>9</v>
      </c>
    </row>
    <row r="1333" spans="1:8" x14ac:dyDescent="0.25">
      <c r="A1333" s="76">
        <v>46382</v>
      </c>
      <c r="B1333" s="78">
        <v>125</v>
      </c>
      <c r="C1333" s="78" t="s">
        <v>26</v>
      </c>
      <c r="D1333" t="s">
        <v>549</v>
      </c>
      <c r="E1333" s="77">
        <v>922100</v>
      </c>
      <c r="H1333">
        <v>7</v>
      </c>
    </row>
    <row r="1334" spans="1:8" x14ac:dyDescent="0.25">
      <c r="A1334" s="76">
        <v>46382</v>
      </c>
      <c r="B1334" s="78">
        <v>128</v>
      </c>
      <c r="C1334" s="78" t="s">
        <v>26</v>
      </c>
      <c r="D1334" t="s">
        <v>550</v>
      </c>
      <c r="E1334" s="77">
        <v>792800</v>
      </c>
      <c r="H1334">
        <v>7</v>
      </c>
    </row>
    <row r="1335" spans="1:8" x14ac:dyDescent="0.25">
      <c r="A1335" s="76">
        <v>46383</v>
      </c>
      <c r="B1335" s="78">
        <v>3082</v>
      </c>
      <c r="C1335" s="78" t="s">
        <v>26</v>
      </c>
      <c r="D1335" t="s">
        <v>439</v>
      </c>
      <c r="E1335" s="77">
        <v>672000</v>
      </c>
      <c r="H1335">
        <v>10</v>
      </c>
    </row>
    <row r="1336" spans="1:8" x14ac:dyDescent="0.25">
      <c r="A1336" s="76">
        <v>46384</v>
      </c>
      <c r="B1336" s="78">
        <v>2517</v>
      </c>
      <c r="C1336" s="78" t="s">
        <v>26</v>
      </c>
      <c r="D1336" t="s">
        <v>176</v>
      </c>
      <c r="E1336" s="77">
        <v>728700</v>
      </c>
      <c r="H1336">
        <v>18</v>
      </c>
    </row>
    <row r="1337" spans="1:8" hidden="1" x14ac:dyDescent="0.25">
      <c r="A1337" s="76">
        <v>46385</v>
      </c>
      <c r="B1337" s="78">
        <v>2588</v>
      </c>
      <c r="C1337" s="78" t="s">
        <v>26</v>
      </c>
      <c r="D1337" t="s">
        <v>201</v>
      </c>
      <c r="E1337" s="77">
        <v>792000</v>
      </c>
      <c r="F1337" s="77">
        <v>739353</v>
      </c>
      <c r="G1337" s="79">
        <v>45976</v>
      </c>
      <c r="H1337">
        <v>17</v>
      </c>
    </row>
    <row r="1338" spans="1:8" hidden="1" x14ac:dyDescent="0.25">
      <c r="A1338" s="76">
        <v>46385</v>
      </c>
      <c r="B1338" s="78">
        <v>912</v>
      </c>
      <c r="C1338" s="78" t="s">
        <v>240</v>
      </c>
      <c r="D1338" t="s">
        <v>241</v>
      </c>
      <c r="E1338" s="77">
        <v>605800</v>
      </c>
      <c r="F1338" s="77">
        <v>565500</v>
      </c>
      <c r="G1338" s="79">
        <v>45996</v>
      </c>
      <c r="H1338">
        <v>17</v>
      </c>
    </row>
    <row r="1339" spans="1:8" x14ac:dyDescent="0.25">
      <c r="A1339" s="76">
        <v>46384</v>
      </c>
      <c r="B1339" s="78">
        <v>2990</v>
      </c>
      <c r="C1339" s="78" t="s">
        <v>26</v>
      </c>
      <c r="D1339" t="s">
        <v>412</v>
      </c>
      <c r="E1339" s="77">
        <v>1028500</v>
      </c>
      <c r="H1339">
        <v>11</v>
      </c>
    </row>
    <row r="1340" spans="1:8" x14ac:dyDescent="0.25">
      <c r="A1340" s="76">
        <v>46384</v>
      </c>
      <c r="B1340" s="78">
        <v>3086</v>
      </c>
      <c r="C1340" s="78" t="s">
        <v>26</v>
      </c>
      <c r="D1340" t="s">
        <v>441</v>
      </c>
      <c r="E1340" s="77">
        <v>407700</v>
      </c>
      <c r="H1340">
        <v>10</v>
      </c>
    </row>
    <row r="1341" spans="1:8" x14ac:dyDescent="0.25">
      <c r="A1341" s="76">
        <v>46386</v>
      </c>
      <c r="B1341" s="78">
        <v>2936</v>
      </c>
      <c r="C1341" s="78" t="s">
        <v>26</v>
      </c>
      <c r="D1341" t="s">
        <v>372</v>
      </c>
      <c r="E1341" s="77">
        <v>488500</v>
      </c>
      <c r="H1341">
        <v>12</v>
      </c>
    </row>
    <row r="1342" spans="1:8" x14ac:dyDescent="0.25">
      <c r="A1342" s="76">
        <v>46386</v>
      </c>
      <c r="B1342" s="78">
        <v>3168</v>
      </c>
      <c r="C1342" s="78" t="s">
        <v>26</v>
      </c>
      <c r="D1342" t="s">
        <v>449</v>
      </c>
      <c r="E1342" s="77">
        <v>659900</v>
      </c>
      <c r="H1342">
        <v>9</v>
      </c>
    </row>
    <row r="1343" spans="1:8" x14ac:dyDescent="0.25">
      <c r="A1343" s="76">
        <v>46386</v>
      </c>
      <c r="B1343" s="78">
        <v>3172</v>
      </c>
      <c r="C1343" s="78" t="s">
        <v>26</v>
      </c>
      <c r="D1343" t="s">
        <v>451</v>
      </c>
      <c r="E1343" s="77">
        <v>645700</v>
      </c>
      <c r="H1343">
        <v>9</v>
      </c>
    </row>
    <row r="1344" spans="1:8" x14ac:dyDescent="0.25">
      <c r="A1344" s="76">
        <v>46386</v>
      </c>
      <c r="B1344" s="78">
        <v>65</v>
      </c>
      <c r="C1344" s="78" t="s">
        <v>26</v>
      </c>
      <c r="D1344" t="s">
        <v>527</v>
      </c>
      <c r="E1344" s="77">
        <v>353500</v>
      </c>
      <c r="H1344">
        <v>8</v>
      </c>
    </row>
    <row r="1345" spans="1:8" x14ac:dyDescent="0.25">
      <c r="A1345" s="76">
        <v>46386</v>
      </c>
      <c r="B1345" s="78">
        <v>217</v>
      </c>
      <c r="C1345" s="78" t="s">
        <v>26</v>
      </c>
      <c r="D1345" t="s">
        <v>581</v>
      </c>
      <c r="E1345" s="77">
        <v>614700</v>
      </c>
      <c r="H1345">
        <v>6</v>
      </c>
    </row>
    <row r="1346" spans="1:8" x14ac:dyDescent="0.25">
      <c r="A1346" s="76">
        <v>46387</v>
      </c>
      <c r="B1346" s="78">
        <v>3008</v>
      </c>
      <c r="C1346" s="78" t="s">
        <v>26</v>
      </c>
      <c r="D1346" t="s">
        <v>430</v>
      </c>
      <c r="E1346" s="77">
        <v>813500</v>
      </c>
      <c r="H1346">
        <v>11</v>
      </c>
    </row>
    <row r="1347" spans="1:8" x14ac:dyDescent="0.25">
      <c r="A1347" s="76">
        <v>46389</v>
      </c>
      <c r="B1347" s="78">
        <v>154</v>
      </c>
      <c r="C1347" s="78" t="s">
        <v>26</v>
      </c>
      <c r="D1347" t="s">
        <v>553</v>
      </c>
      <c r="E1347" s="77">
        <v>379100</v>
      </c>
      <c r="H1347">
        <v>7</v>
      </c>
    </row>
    <row r="1348" spans="1:8" x14ac:dyDescent="0.25">
      <c r="A1348" s="76">
        <v>46390</v>
      </c>
      <c r="B1348" s="78">
        <v>2520</v>
      </c>
      <c r="C1348" s="78" t="s">
        <v>26</v>
      </c>
      <c r="D1348" t="s">
        <v>196</v>
      </c>
      <c r="E1348" s="77">
        <v>481700</v>
      </c>
      <c r="H1348">
        <v>18</v>
      </c>
    </row>
    <row r="1349" spans="1:8" x14ac:dyDescent="0.25">
      <c r="A1349" s="76">
        <v>46390</v>
      </c>
      <c r="B1349" s="78">
        <v>2847</v>
      </c>
      <c r="C1349" s="78" t="s">
        <v>26</v>
      </c>
      <c r="D1349" t="s">
        <v>330</v>
      </c>
      <c r="E1349" s="77">
        <v>419300</v>
      </c>
      <c r="H1349">
        <v>13</v>
      </c>
    </row>
    <row r="1350" spans="1:8" x14ac:dyDescent="0.25">
      <c r="A1350" s="76">
        <v>46391</v>
      </c>
      <c r="B1350" s="78">
        <v>2850</v>
      </c>
      <c r="C1350" s="78" t="s">
        <v>26</v>
      </c>
      <c r="D1350" t="s">
        <v>332</v>
      </c>
      <c r="E1350" s="77">
        <v>615100</v>
      </c>
      <c r="H1350">
        <v>13</v>
      </c>
    </row>
    <row r="1351" spans="1:8" x14ac:dyDescent="0.25">
      <c r="A1351" s="76">
        <v>46391</v>
      </c>
      <c r="B1351" s="78">
        <v>2</v>
      </c>
      <c r="C1351" s="78" t="s">
        <v>26</v>
      </c>
      <c r="D1351" t="s">
        <v>457</v>
      </c>
      <c r="E1351" s="77">
        <v>614700</v>
      </c>
      <c r="H1351">
        <v>9</v>
      </c>
    </row>
    <row r="1352" spans="1:8" x14ac:dyDescent="0.25">
      <c r="A1352" s="76">
        <v>46392</v>
      </c>
      <c r="B1352" s="78">
        <v>3099</v>
      </c>
      <c r="C1352" s="78" t="s">
        <v>26</v>
      </c>
      <c r="D1352" t="s">
        <v>443</v>
      </c>
      <c r="E1352" s="77">
        <v>614700</v>
      </c>
      <c r="H1352">
        <v>10</v>
      </c>
    </row>
    <row r="1353" spans="1:8" x14ac:dyDescent="0.25">
      <c r="A1353" s="76">
        <v>46392</v>
      </c>
      <c r="B1353" s="78">
        <v>72</v>
      </c>
      <c r="C1353" s="78" t="s">
        <v>26</v>
      </c>
      <c r="D1353" t="s">
        <v>529</v>
      </c>
      <c r="E1353" s="77">
        <v>450400</v>
      </c>
      <c r="H1353">
        <v>8</v>
      </c>
    </row>
    <row r="1354" spans="1:8" x14ac:dyDescent="0.25">
      <c r="A1354" s="76">
        <v>46392</v>
      </c>
      <c r="B1354" s="78">
        <v>73</v>
      </c>
      <c r="C1354" s="78" t="s">
        <v>26</v>
      </c>
      <c r="D1354" t="s">
        <v>530</v>
      </c>
      <c r="E1354" s="77">
        <v>468900</v>
      </c>
      <c r="H1354">
        <v>8</v>
      </c>
    </row>
    <row r="1355" spans="1:8" x14ac:dyDescent="0.25">
      <c r="A1355" s="76">
        <v>46393</v>
      </c>
      <c r="B1355" s="78">
        <v>2948</v>
      </c>
      <c r="C1355" s="78" t="s">
        <v>26</v>
      </c>
      <c r="D1355" t="s">
        <v>379</v>
      </c>
      <c r="E1355" s="77">
        <v>298000</v>
      </c>
      <c r="H1355">
        <v>12</v>
      </c>
    </row>
    <row r="1356" spans="1:8" x14ac:dyDescent="0.25">
      <c r="A1356" s="76">
        <v>46393</v>
      </c>
      <c r="B1356" s="78">
        <v>5</v>
      </c>
      <c r="C1356" s="78" t="s">
        <v>26</v>
      </c>
      <c r="D1356" t="s">
        <v>461</v>
      </c>
      <c r="E1356" s="77">
        <v>714200</v>
      </c>
      <c r="H1356">
        <v>9</v>
      </c>
    </row>
    <row r="1357" spans="1:8" x14ac:dyDescent="0.25">
      <c r="A1357" s="76">
        <v>46393</v>
      </c>
      <c r="B1357" s="78">
        <v>232</v>
      </c>
      <c r="C1357" s="78" t="s">
        <v>26</v>
      </c>
      <c r="D1357" t="s">
        <v>591</v>
      </c>
      <c r="E1357" s="77">
        <v>892100</v>
      </c>
      <c r="H1357">
        <v>6</v>
      </c>
    </row>
    <row r="1358" spans="1:8" x14ac:dyDescent="0.25">
      <c r="A1358" s="76">
        <v>46394</v>
      </c>
      <c r="B1358" s="78">
        <v>78</v>
      </c>
      <c r="C1358" s="78" t="s">
        <v>26</v>
      </c>
      <c r="D1358" t="s">
        <v>531</v>
      </c>
      <c r="E1358" s="77">
        <v>614700</v>
      </c>
      <c r="H1358">
        <v>8</v>
      </c>
    </row>
    <row r="1359" spans="1:8" x14ac:dyDescent="0.25">
      <c r="A1359" s="76">
        <v>46395</v>
      </c>
      <c r="B1359" s="78">
        <v>80</v>
      </c>
      <c r="C1359" s="78" t="s">
        <v>26</v>
      </c>
      <c r="D1359" t="s">
        <v>532</v>
      </c>
      <c r="E1359" s="77">
        <v>134100</v>
      </c>
      <c r="H1359">
        <v>8</v>
      </c>
    </row>
    <row r="1360" spans="1:8" x14ac:dyDescent="0.25">
      <c r="A1360" s="76">
        <v>46396</v>
      </c>
      <c r="B1360" s="78">
        <v>883</v>
      </c>
      <c r="C1360" s="78" t="s">
        <v>240</v>
      </c>
      <c r="D1360" t="s">
        <v>243</v>
      </c>
      <c r="E1360" s="77">
        <v>287300</v>
      </c>
      <c r="H1360">
        <v>18</v>
      </c>
    </row>
    <row r="1361" spans="1:8" x14ac:dyDescent="0.25">
      <c r="A1361" s="76">
        <v>46396</v>
      </c>
      <c r="B1361" s="78">
        <v>2861</v>
      </c>
      <c r="C1361" s="78" t="s">
        <v>26</v>
      </c>
      <c r="D1361" t="s">
        <v>340</v>
      </c>
      <c r="E1361" s="77">
        <v>308200</v>
      </c>
      <c r="H1361">
        <v>13</v>
      </c>
    </row>
    <row r="1362" spans="1:8" x14ac:dyDescent="0.25">
      <c r="A1362" s="76">
        <v>46398</v>
      </c>
      <c r="B1362" s="78">
        <v>86</v>
      </c>
      <c r="C1362" s="78" t="s">
        <v>26</v>
      </c>
      <c r="D1362" t="s">
        <v>534</v>
      </c>
      <c r="E1362" s="77">
        <v>1021400</v>
      </c>
      <c r="H1362">
        <v>8</v>
      </c>
    </row>
    <row r="1363" spans="1:8" x14ac:dyDescent="0.25">
      <c r="A1363" s="76">
        <v>46404</v>
      </c>
      <c r="B1363" s="78">
        <v>2566</v>
      </c>
      <c r="C1363" s="78" t="s">
        <v>26</v>
      </c>
      <c r="D1363" t="s">
        <v>200</v>
      </c>
      <c r="E1363" s="77">
        <v>790200</v>
      </c>
      <c r="H1363">
        <v>18</v>
      </c>
    </row>
    <row r="1364" spans="1:8" x14ac:dyDescent="0.25">
      <c r="A1364" s="76">
        <v>46404</v>
      </c>
      <c r="B1364" s="78">
        <v>2967</v>
      </c>
      <c r="C1364" s="78" t="s">
        <v>26</v>
      </c>
      <c r="D1364" t="s">
        <v>396</v>
      </c>
      <c r="E1364" s="77">
        <v>989800</v>
      </c>
      <c r="H1364">
        <v>12</v>
      </c>
    </row>
    <row r="1365" spans="1:8" x14ac:dyDescent="0.25">
      <c r="A1365" s="76">
        <v>46404</v>
      </c>
      <c r="B1365" s="78">
        <v>2968</v>
      </c>
      <c r="C1365" s="78" t="s">
        <v>26</v>
      </c>
      <c r="D1365" t="s">
        <v>398</v>
      </c>
      <c r="E1365" s="77">
        <v>452200</v>
      </c>
      <c r="H1365">
        <v>12</v>
      </c>
    </row>
    <row r="1366" spans="1:8" x14ac:dyDescent="0.25">
      <c r="A1366" s="76">
        <v>46405</v>
      </c>
      <c r="B1366" s="78">
        <v>3060</v>
      </c>
      <c r="C1366" s="78" t="s">
        <v>26</v>
      </c>
      <c r="D1366" t="s">
        <v>432</v>
      </c>
      <c r="E1366" s="77">
        <v>623600</v>
      </c>
      <c r="H1366">
        <v>11</v>
      </c>
    </row>
    <row r="1367" spans="1:8" x14ac:dyDescent="0.25">
      <c r="A1367" s="76">
        <v>46405</v>
      </c>
      <c r="B1367" s="78">
        <v>31</v>
      </c>
      <c r="C1367" s="78" t="s">
        <v>26</v>
      </c>
      <c r="D1367" t="s">
        <v>501</v>
      </c>
      <c r="E1367" s="77">
        <v>581500</v>
      </c>
      <c r="H1367">
        <v>9</v>
      </c>
    </row>
    <row r="1368" spans="1:8" x14ac:dyDescent="0.25">
      <c r="A1368" s="76">
        <v>46406</v>
      </c>
      <c r="B1368" s="78">
        <v>2637</v>
      </c>
      <c r="C1368" s="78" t="s">
        <v>26</v>
      </c>
      <c r="D1368" t="s">
        <v>221</v>
      </c>
      <c r="E1368" s="77">
        <v>663300</v>
      </c>
      <c r="H1368">
        <v>17</v>
      </c>
    </row>
    <row r="1369" spans="1:8" x14ac:dyDescent="0.25">
      <c r="A1369" s="76">
        <v>46406</v>
      </c>
      <c r="B1369" s="78">
        <v>2810</v>
      </c>
      <c r="C1369" s="78" t="s">
        <v>26</v>
      </c>
      <c r="D1369" t="s">
        <v>318</v>
      </c>
      <c r="E1369" s="77">
        <v>557500</v>
      </c>
      <c r="H1369">
        <v>14</v>
      </c>
    </row>
    <row r="1370" spans="1:8" x14ac:dyDescent="0.25">
      <c r="A1370" s="76">
        <v>46406</v>
      </c>
      <c r="B1370" s="78">
        <v>1110</v>
      </c>
      <c r="C1370" s="78" t="s">
        <v>240</v>
      </c>
      <c r="D1370" t="s">
        <v>419</v>
      </c>
      <c r="E1370" s="77">
        <v>751300</v>
      </c>
      <c r="H1370">
        <v>12</v>
      </c>
    </row>
    <row r="1371" spans="1:8" x14ac:dyDescent="0.25">
      <c r="A1371" s="76">
        <v>46406</v>
      </c>
      <c r="B1371" s="78">
        <v>3062</v>
      </c>
      <c r="C1371" s="78" t="s">
        <v>26</v>
      </c>
      <c r="D1371" t="s">
        <v>435</v>
      </c>
      <c r="E1371" s="77">
        <v>452200</v>
      </c>
      <c r="H1371">
        <v>11</v>
      </c>
    </row>
    <row r="1372" spans="1:8" x14ac:dyDescent="0.25">
      <c r="A1372" s="76">
        <v>46407</v>
      </c>
      <c r="B1372" s="78">
        <v>2640</v>
      </c>
      <c r="C1372" s="78" t="s">
        <v>26</v>
      </c>
      <c r="D1372" t="s">
        <v>234</v>
      </c>
      <c r="E1372" s="77">
        <v>789900</v>
      </c>
      <c r="H1372">
        <v>17</v>
      </c>
    </row>
    <row r="1373" spans="1:8" x14ac:dyDescent="0.25">
      <c r="A1373" s="76">
        <v>46407</v>
      </c>
      <c r="B1373" s="78">
        <v>2973</v>
      </c>
      <c r="C1373" s="78" t="s">
        <v>26</v>
      </c>
      <c r="D1373" t="s">
        <v>400</v>
      </c>
      <c r="E1373" s="77">
        <v>696400</v>
      </c>
      <c r="H1373">
        <v>12</v>
      </c>
    </row>
    <row r="1374" spans="1:8" x14ac:dyDescent="0.25">
      <c r="A1374" s="76">
        <v>46407</v>
      </c>
      <c r="B1374" s="78">
        <v>3068</v>
      </c>
      <c r="C1374" s="78" t="s">
        <v>26</v>
      </c>
      <c r="D1374" t="s">
        <v>437</v>
      </c>
      <c r="E1374" s="77">
        <v>450400</v>
      </c>
      <c r="H1374">
        <v>11</v>
      </c>
    </row>
    <row r="1375" spans="1:8" x14ac:dyDescent="0.25">
      <c r="A1375" s="76">
        <v>46408</v>
      </c>
      <c r="B1375" s="78">
        <v>1112</v>
      </c>
      <c r="C1375" s="78" t="s">
        <v>240</v>
      </c>
      <c r="D1375" t="s">
        <v>467</v>
      </c>
      <c r="E1375" s="77">
        <v>649000</v>
      </c>
      <c r="H1375">
        <v>12</v>
      </c>
    </row>
    <row r="1376" spans="1:8" x14ac:dyDescent="0.25">
      <c r="A1376" s="76">
        <v>46409</v>
      </c>
      <c r="B1376" s="78">
        <v>2346</v>
      </c>
      <c r="C1376" s="78" t="s">
        <v>26</v>
      </c>
      <c r="D1376" t="s">
        <v>111</v>
      </c>
      <c r="E1376" s="77">
        <v>656200</v>
      </c>
      <c r="H1376">
        <v>21</v>
      </c>
    </row>
    <row r="1377" spans="1:8" x14ac:dyDescent="0.25">
      <c r="A1377" s="76">
        <v>46410</v>
      </c>
      <c r="B1377" s="78">
        <v>45</v>
      </c>
      <c r="C1377" s="78" t="s">
        <v>26</v>
      </c>
      <c r="D1377" t="s">
        <v>519</v>
      </c>
      <c r="E1377" s="77">
        <v>658800</v>
      </c>
      <c r="H1377">
        <v>9</v>
      </c>
    </row>
    <row r="1378" spans="1:8" x14ac:dyDescent="0.25">
      <c r="A1378" s="76">
        <v>46410</v>
      </c>
      <c r="B1378" s="78">
        <v>47</v>
      </c>
      <c r="C1378" s="78" t="s">
        <v>26</v>
      </c>
      <c r="D1378" t="s">
        <v>522</v>
      </c>
      <c r="E1378" s="77">
        <v>304200</v>
      </c>
      <c r="H1378">
        <v>9</v>
      </c>
    </row>
    <row r="1379" spans="1:8" x14ac:dyDescent="0.25">
      <c r="A1379" s="76">
        <v>46410</v>
      </c>
      <c r="B1379" s="78">
        <v>119</v>
      </c>
      <c r="C1379" s="78" t="s">
        <v>26</v>
      </c>
      <c r="D1379" t="s">
        <v>546</v>
      </c>
      <c r="E1379" s="77">
        <v>803800</v>
      </c>
      <c r="H1379">
        <v>8</v>
      </c>
    </row>
    <row r="1380" spans="1:8" x14ac:dyDescent="0.25">
      <c r="A1380" s="76">
        <v>46412</v>
      </c>
      <c r="B1380" s="78">
        <v>2511</v>
      </c>
      <c r="C1380" s="78" t="s">
        <v>26</v>
      </c>
      <c r="D1380" t="s">
        <v>171</v>
      </c>
      <c r="E1380" s="77">
        <v>712300</v>
      </c>
      <c r="H1380">
        <v>19</v>
      </c>
    </row>
    <row r="1381" spans="1:8" x14ac:dyDescent="0.25">
      <c r="A1381" s="76">
        <v>46412</v>
      </c>
      <c r="B1381" s="78">
        <v>2828</v>
      </c>
      <c r="C1381" s="78" t="s">
        <v>26</v>
      </c>
      <c r="D1381" t="s">
        <v>309</v>
      </c>
      <c r="E1381" s="77">
        <v>441300</v>
      </c>
      <c r="H1381">
        <v>14</v>
      </c>
    </row>
    <row r="1382" spans="1:8" x14ac:dyDescent="0.25">
      <c r="A1382" s="76">
        <v>46412</v>
      </c>
      <c r="B1382" s="78">
        <v>3151</v>
      </c>
      <c r="C1382" s="78" t="s">
        <v>26</v>
      </c>
      <c r="D1382" t="s">
        <v>444</v>
      </c>
      <c r="E1382" s="77">
        <v>614700</v>
      </c>
      <c r="H1382">
        <v>10</v>
      </c>
    </row>
    <row r="1383" spans="1:8" x14ac:dyDescent="0.25">
      <c r="A1383" s="76">
        <v>46412</v>
      </c>
      <c r="B1383" s="78">
        <v>51</v>
      </c>
      <c r="C1383" s="78" t="s">
        <v>26</v>
      </c>
      <c r="D1383" t="s">
        <v>523</v>
      </c>
      <c r="E1383" s="77">
        <v>242200</v>
      </c>
      <c r="H1383">
        <v>9</v>
      </c>
    </row>
    <row r="1384" spans="1:8" x14ac:dyDescent="0.25">
      <c r="A1384" s="76">
        <v>46412</v>
      </c>
      <c r="B1384" s="78">
        <v>122</v>
      </c>
      <c r="C1384" s="78" t="s">
        <v>26</v>
      </c>
      <c r="D1384" t="s">
        <v>547</v>
      </c>
      <c r="E1384" s="77">
        <v>511200</v>
      </c>
      <c r="H1384">
        <v>8</v>
      </c>
    </row>
    <row r="1385" spans="1:8" x14ac:dyDescent="0.25">
      <c r="A1385" s="76">
        <v>46412</v>
      </c>
      <c r="B1385" s="78">
        <v>123</v>
      </c>
      <c r="C1385" s="78" t="s">
        <v>26</v>
      </c>
      <c r="D1385" t="s">
        <v>548</v>
      </c>
      <c r="E1385" s="77">
        <v>407700</v>
      </c>
      <c r="H1385">
        <v>8</v>
      </c>
    </row>
    <row r="1386" spans="1:8" x14ac:dyDescent="0.25">
      <c r="A1386" s="76">
        <v>46413</v>
      </c>
      <c r="B1386" s="78">
        <v>2919</v>
      </c>
      <c r="C1386" s="78" t="s">
        <v>26</v>
      </c>
      <c r="D1386" t="s">
        <v>369</v>
      </c>
      <c r="E1386" s="77">
        <v>440800</v>
      </c>
      <c r="H1386">
        <v>13</v>
      </c>
    </row>
    <row r="1387" spans="1:8" hidden="1" x14ac:dyDescent="0.25">
      <c r="A1387" s="76">
        <v>46416</v>
      </c>
      <c r="B1387" s="78">
        <v>2588</v>
      </c>
      <c r="C1387" s="78" t="s">
        <v>26</v>
      </c>
      <c r="D1387" t="s">
        <v>201</v>
      </c>
      <c r="E1387" s="77">
        <v>792000</v>
      </c>
      <c r="F1387" s="77">
        <v>765230</v>
      </c>
      <c r="G1387" s="79">
        <v>45976</v>
      </c>
      <c r="H1387">
        <v>18</v>
      </c>
    </row>
    <row r="1388" spans="1:8" hidden="1" x14ac:dyDescent="0.25">
      <c r="A1388" s="76">
        <v>46416</v>
      </c>
      <c r="B1388" s="78">
        <v>912</v>
      </c>
      <c r="C1388" s="78" t="s">
        <v>240</v>
      </c>
      <c r="D1388" t="s">
        <v>241</v>
      </c>
      <c r="E1388" s="77">
        <v>605800</v>
      </c>
      <c r="F1388" s="77">
        <v>585292</v>
      </c>
      <c r="G1388" s="79">
        <v>45996</v>
      </c>
      <c r="H1388">
        <v>18</v>
      </c>
    </row>
    <row r="1389" spans="1:8" x14ac:dyDescent="0.25">
      <c r="A1389" s="76">
        <v>46413</v>
      </c>
      <c r="B1389" s="78">
        <v>3157</v>
      </c>
      <c r="C1389" s="78" t="s">
        <v>26</v>
      </c>
      <c r="D1389" t="s">
        <v>447</v>
      </c>
      <c r="E1389" s="77">
        <v>407700</v>
      </c>
      <c r="H1389">
        <v>10</v>
      </c>
    </row>
    <row r="1390" spans="1:8" x14ac:dyDescent="0.25">
      <c r="A1390" s="76">
        <v>46413</v>
      </c>
      <c r="B1390" s="78">
        <v>125</v>
      </c>
      <c r="C1390" s="78" t="s">
        <v>26</v>
      </c>
      <c r="D1390" t="s">
        <v>549</v>
      </c>
      <c r="E1390" s="77">
        <v>922100</v>
      </c>
      <c r="H1390">
        <v>8</v>
      </c>
    </row>
    <row r="1391" spans="1:8" x14ac:dyDescent="0.25">
      <c r="A1391" s="76">
        <v>46413</v>
      </c>
      <c r="B1391" s="78">
        <v>128</v>
      </c>
      <c r="C1391" s="78" t="s">
        <v>26</v>
      </c>
      <c r="D1391" t="s">
        <v>550</v>
      </c>
      <c r="E1391" s="77">
        <v>792800</v>
      </c>
      <c r="H1391">
        <v>8</v>
      </c>
    </row>
    <row r="1392" spans="1:8" x14ac:dyDescent="0.25">
      <c r="A1392" s="76">
        <v>46414</v>
      </c>
      <c r="B1392" s="78">
        <v>3082</v>
      </c>
      <c r="C1392" s="78" t="s">
        <v>26</v>
      </c>
      <c r="D1392" t="s">
        <v>439</v>
      </c>
      <c r="E1392" s="77">
        <v>672000</v>
      </c>
      <c r="H1392">
        <v>11</v>
      </c>
    </row>
    <row r="1393" spans="1:8" x14ac:dyDescent="0.25">
      <c r="A1393" s="76">
        <v>46415</v>
      </c>
      <c r="B1393" s="78">
        <v>2990</v>
      </c>
      <c r="C1393" s="78" t="s">
        <v>26</v>
      </c>
      <c r="D1393" t="s">
        <v>412</v>
      </c>
      <c r="E1393" s="77">
        <v>1028500</v>
      </c>
      <c r="H1393">
        <v>12</v>
      </c>
    </row>
    <row r="1394" spans="1:8" x14ac:dyDescent="0.25">
      <c r="A1394" s="76">
        <v>46415</v>
      </c>
      <c r="B1394" s="78">
        <v>3086</v>
      </c>
      <c r="C1394" s="78" t="s">
        <v>26</v>
      </c>
      <c r="D1394" t="s">
        <v>441</v>
      </c>
      <c r="E1394" s="77">
        <v>407700</v>
      </c>
      <c r="H1394">
        <v>11</v>
      </c>
    </row>
    <row r="1395" spans="1:8" x14ac:dyDescent="0.25">
      <c r="A1395" s="76">
        <v>46417</v>
      </c>
      <c r="B1395" s="78">
        <v>3168</v>
      </c>
      <c r="C1395" s="78" t="s">
        <v>26</v>
      </c>
      <c r="D1395" t="s">
        <v>449</v>
      </c>
      <c r="E1395" s="77">
        <v>659900</v>
      </c>
      <c r="H1395">
        <v>10</v>
      </c>
    </row>
    <row r="1396" spans="1:8" x14ac:dyDescent="0.25">
      <c r="A1396" s="76">
        <v>46417</v>
      </c>
      <c r="B1396" s="78">
        <v>3172</v>
      </c>
      <c r="C1396" s="78" t="s">
        <v>26</v>
      </c>
      <c r="D1396" t="s">
        <v>451</v>
      </c>
      <c r="E1396" s="77">
        <v>645700</v>
      </c>
      <c r="H1396">
        <v>10</v>
      </c>
    </row>
    <row r="1397" spans="1:8" x14ac:dyDescent="0.25">
      <c r="A1397" s="76">
        <v>46417</v>
      </c>
      <c r="B1397" s="78">
        <v>65</v>
      </c>
      <c r="C1397" s="78" t="s">
        <v>26</v>
      </c>
      <c r="D1397" t="s">
        <v>527</v>
      </c>
      <c r="E1397" s="77">
        <v>353500</v>
      </c>
      <c r="H1397">
        <v>9</v>
      </c>
    </row>
    <row r="1398" spans="1:8" x14ac:dyDescent="0.25">
      <c r="A1398" s="76">
        <v>46417</v>
      </c>
      <c r="B1398" s="78">
        <v>217</v>
      </c>
      <c r="C1398" s="78" t="s">
        <v>26</v>
      </c>
      <c r="D1398" t="s">
        <v>581</v>
      </c>
      <c r="E1398" s="77">
        <v>614700</v>
      </c>
      <c r="H1398">
        <v>7</v>
      </c>
    </row>
    <row r="1399" spans="1:8" x14ac:dyDescent="0.25">
      <c r="A1399" s="76">
        <v>46418</v>
      </c>
      <c r="B1399" s="78">
        <v>3008</v>
      </c>
      <c r="C1399" s="78" t="s">
        <v>26</v>
      </c>
      <c r="D1399" t="s">
        <v>430</v>
      </c>
      <c r="E1399" s="77">
        <v>813500</v>
      </c>
      <c r="H1399">
        <v>12</v>
      </c>
    </row>
    <row r="1400" spans="1:8" x14ac:dyDescent="0.25">
      <c r="A1400" s="76">
        <v>46420</v>
      </c>
      <c r="B1400" s="78">
        <v>154</v>
      </c>
      <c r="C1400" s="78" t="s">
        <v>26</v>
      </c>
      <c r="D1400" t="s">
        <v>553</v>
      </c>
      <c r="E1400" s="77">
        <v>379100</v>
      </c>
      <c r="H1400">
        <v>8</v>
      </c>
    </row>
    <row r="1401" spans="1:8" x14ac:dyDescent="0.25">
      <c r="A1401" s="76">
        <v>46421</v>
      </c>
      <c r="B1401" s="78">
        <v>2847</v>
      </c>
      <c r="C1401" s="78" t="s">
        <v>26</v>
      </c>
      <c r="D1401" t="s">
        <v>330</v>
      </c>
      <c r="E1401" s="77">
        <v>419300</v>
      </c>
      <c r="H1401">
        <v>14</v>
      </c>
    </row>
    <row r="1402" spans="1:8" x14ac:dyDescent="0.25">
      <c r="A1402" s="76">
        <v>46422</v>
      </c>
      <c r="B1402" s="78">
        <v>2850</v>
      </c>
      <c r="C1402" s="78" t="s">
        <v>26</v>
      </c>
      <c r="D1402" t="s">
        <v>332</v>
      </c>
      <c r="E1402" s="77">
        <v>615100</v>
      </c>
      <c r="H1402">
        <v>14</v>
      </c>
    </row>
    <row r="1403" spans="1:8" x14ac:dyDescent="0.25">
      <c r="A1403" s="76">
        <v>46422</v>
      </c>
      <c r="B1403" s="78">
        <v>2</v>
      </c>
      <c r="C1403" s="78" t="s">
        <v>26</v>
      </c>
      <c r="D1403" t="s">
        <v>457</v>
      </c>
      <c r="E1403" s="77">
        <v>614700</v>
      </c>
      <c r="H1403">
        <v>10</v>
      </c>
    </row>
    <row r="1404" spans="1:8" x14ac:dyDescent="0.25">
      <c r="A1404" s="76">
        <v>46423</v>
      </c>
      <c r="B1404" s="78">
        <v>3099</v>
      </c>
      <c r="C1404" s="78" t="s">
        <v>26</v>
      </c>
      <c r="D1404" t="s">
        <v>443</v>
      </c>
      <c r="E1404" s="77">
        <v>614700</v>
      </c>
      <c r="H1404">
        <v>11</v>
      </c>
    </row>
    <row r="1405" spans="1:8" x14ac:dyDescent="0.25">
      <c r="A1405" s="76">
        <v>46423</v>
      </c>
      <c r="B1405" s="78">
        <v>72</v>
      </c>
      <c r="C1405" s="78" t="s">
        <v>26</v>
      </c>
      <c r="D1405" t="s">
        <v>529</v>
      </c>
      <c r="E1405" s="77">
        <v>450400</v>
      </c>
      <c r="H1405">
        <v>9</v>
      </c>
    </row>
    <row r="1406" spans="1:8" x14ac:dyDescent="0.25">
      <c r="A1406" s="76">
        <v>46423</v>
      </c>
      <c r="B1406" s="78">
        <v>73</v>
      </c>
      <c r="C1406" s="78" t="s">
        <v>26</v>
      </c>
      <c r="D1406" t="s">
        <v>530</v>
      </c>
      <c r="E1406" s="77">
        <v>468900</v>
      </c>
      <c r="H1406">
        <v>9</v>
      </c>
    </row>
    <row r="1407" spans="1:8" x14ac:dyDescent="0.25">
      <c r="A1407" s="76">
        <v>46424</v>
      </c>
      <c r="B1407" s="78">
        <v>2948</v>
      </c>
      <c r="C1407" s="78" t="s">
        <v>26</v>
      </c>
      <c r="D1407" t="s">
        <v>379</v>
      </c>
      <c r="E1407" s="77">
        <v>298000</v>
      </c>
      <c r="H1407">
        <v>13</v>
      </c>
    </row>
    <row r="1408" spans="1:8" x14ac:dyDescent="0.25">
      <c r="A1408" s="76">
        <v>46424</v>
      </c>
      <c r="B1408" s="78">
        <v>5</v>
      </c>
      <c r="C1408" s="78" t="s">
        <v>26</v>
      </c>
      <c r="D1408" t="s">
        <v>461</v>
      </c>
      <c r="E1408" s="77">
        <v>714200</v>
      </c>
      <c r="H1408">
        <v>10</v>
      </c>
    </row>
    <row r="1409" spans="1:8" x14ac:dyDescent="0.25">
      <c r="A1409" s="76">
        <v>46424</v>
      </c>
      <c r="B1409" s="78">
        <v>232</v>
      </c>
      <c r="C1409" s="78" t="s">
        <v>26</v>
      </c>
      <c r="D1409" t="s">
        <v>591</v>
      </c>
      <c r="E1409" s="77">
        <v>892100</v>
      </c>
      <c r="H1409">
        <v>7</v>
      </c>
    </row>
    <row r="1410" spans="1:8" x14ac:dyDescent="0.25">
      <c r="A1410" s="76">
        <v>46425</v>
      </c>
      <c r="B1410" s="78">
        <v>78</v>
      </c>
      <c r="C1410" s="78" t="s">
        <v>26</v>
      </c>
      <c r="D1410" t="s">
        <v>531</v>
      </c>
      <c r="E1410" s="77">
        <v>614700</v>
      </c>
      <c r="H1410">
        <v>9</v>
      </c>
    </row>
    <row r="1411" spans="1:8" x14ac:dyDescent="0.25">
      <c r="A1411" s="76">
        <v>46426</v>
      </c>
      <c r="B1411" s="78">
        <v>80</v>
      </c>
      <c r="C1411" s="78" t="s">
        <v>26</v>
      </c>
      <c r="D1411" t="s">
        <v>532</v>
      </c>
      <c r="E1411" s="77">
        <v>134100</v>
      </c>
      <c r="H1411">
        <v>9</v>
      </c>
    </row>
    <row r="1412" spans="1:8" x14ac:dyDescent="0.25">
      <c r="A1412" s="76">
        <v>46427</v>
      </c>
      <c r="B1412" s="78">
        <v>2861</v>
      </c>
      <c r="C1412" s="78" t="s">
        <v>26</v>
      </c>
      <c r="D1412" t="s">
        <v>340</v>
      </c>
      <c r="E1412" s="77">
        <v>308200</v>
      </c>
      <c r="H1412">
        <v>14</v>
      </c>
    </row>
    <row r="1413" spans="1:8" x14ac:dyDescent="0.25">
      <c r="A1413" s="76">
        <v>46429</v>
      </c>
      <c r="B1413" s="78">
        <v>86</v>
      </c>
      <c r="C1413" s="78" t="s">
        <v>26</v>
      </c>
      <c r="D1413" t="s">
        <v>534</v>
      </c>
      <c r="E1413" s="77">
        <v>1021400</v>
      </c>
      <c r="H1413">
        <v>9</v>
      </c>
    </row>
    <row r="1414" spans="1:8" x14ac:dyDescent="0.25">
      <c r="A1414" s="76">
        <v>46435</v>
      </c>
      <c r="B1414" s="78">
        <v>2968</v>
      </c>
      <c r="C1414" s="78" t="s">
        <v>26</v>
      </c>
      <c r="D1414" t="s">
        <v>398</v>
      </c>
      <c r="E1414" s="77">
        <v>452200</v>
      </c>
      <c r="H1414">
        <v>13</v>
      </c>
    </row>
    <row r="1415" spans="1:8" x14ac:dyDescent="0.25">
      <c r="A1415" s="76">
        <v>46436</v>
      </c>
      <c r="B1415" s="78">
        <v>3060</v>
      </c>
      <c r="C1415" s="78" t="s">
        <v>26</v>
      </c>
      <c r="D1415" t="s">
        <v>432</v>
      </c>
      <c r="E1415" s="77">
        <v>623600</v>
      </c>
      <c r="H1415">
        <v>12</v>
      </c>
    </row>
    <row r="1416" spans="1:8" x14ac:dyDescent="0.25">
      <c r="A1416" s="76">
        <v>46436</v>
      </c>
      <c r="B1416" s="78">
        <v>31</v>
      </c>
      <c r="C1416" s="78" t="s">
        <v>26</v>
      </c>
      <c r="D1416" t="s">
        <v>501</v>
      </c>
      <c r="E1416" s="77">
        <v>581500</v>
      </c>
      <c r="H1416">
        <v>10</v>
      </c>
    </row>
    <row r="1417" spans="1:8" x14ac:dyDescent="0.25">
      <c r="A1417" s="76">
        <v>46437</v>
      </c>
      <c r="B1417" s="78">
        <v>2637</v>
      </c>
      <c r="C1417" s="78" t="s">
        <v>26</v>
      </c>
      <c r="D1417" t="s">
        <v>221</v>
      </c>
      <c r="E1417" s="77">
        <v>663300</v>
      </c>
      <c r="H1417">
        <v>18</v>
      </c>
    </row>
    <row r="1418" spans="1:8" x14ac:dyDescent="0.25">
      <c r="A1418" s="76">
        <v>46437</v>
      </c>
      <c r="B1418" s="78">
        <v>2810</v>
      </c>
      <c r="C1418" s="78" t="s">
        <v>26</v>
      </c>
      <c r="D1418" t="s">
        <v>318</v>
      </c>
      <c r="E1418" s="77">
        <v>557500</v>
      </c>
      <c r="H1418">
        <v>15</v>
      </c>
    </row>
    <row r="1419" spans="1:8" x14ac:dyDescent="0.25">
      <c r="A1419" s="76">
        <v>46437</v>
      </c>
      <c r="B1419" s="78">
        <v>3062</v>
      </c>
      <c r="C1419" s="78" t="s">
        <v>26</v>
      </c>
      <c r="D1419" t="s">
        <v>435</v>
      </c>
      <c r="E1419" s="77">
        <v>452200</v>
      </c>
      <c r="H1419">
        <v>12</v>
      </c>
    </row>
    <row r="1420" spans="1:8" x14ac:dyDescent="0.25">
      <c r="A1420" s="76">
        <v>46438</v>
      </c>
      <c r="B1420" s="78">
        <v>2640</v>
      </c>
      <c r="C1420" s="78" t="s">
        <v>26</v>
      </c>
      <c r="D1420" t="s">
        <v>234</v>
      </c>
      <c r="E1420" s="77">
        <v>789900</v>
      </c>
      <c r="H1420">
        <v>18</v>
      </c>
    </row>
    <row r="1421" spans="1:8" x14ac:dyDescent="0.25">
      <c r="A1421" s="76">
        <v>46438</v>
      </c>
      <c r="B1421" s="78">
        <v>3068</v>
      </c>
      <c r="C1421" s="78" t="s">
        <v>26</v>
      </c>
      <c r="D1421" t="s">
        <v>437</v>
      </c>
      <c r="E1421" s="77">
        <v>450400</v>
      </c>
      <c r="H1421">
        <v>12</v>
      </c>
    </row>
    <row r="1422" spans="1:8" x14ac:dyDescent="0.25">
      <c r="A1422" s="76">
        <v>46439</v>
      </c>
      <c r="B1422" s="78">
        <v>1112</v>
      </c>
      <c r="C1422" s="78" t="s">
        <v>240</v>
      </c>
      <c r="D1422" t="s">
        <v>467</v>
      </c>
      <c r="E1422" s="77">
        <v>649000</v>
      </c>
      <c r="H1422">
        <v>13</v>
      </c>
    </row>
    <row r="1423" spans="1:8" x14ac:dyDescent="0.25">
      <c r="A1423" s="76">
        <v>46440</v>
      </c>
      <c r="B1423" s="78">
        <v>2346</v>
      </c>
      <c r="C1423" s="78" t="s">
        <v>26</v>
      </c>
      <c r="D1423" t="s">
        <v>111</v>
      </c>
      <c r="E1423" s="77">
        <v>656200</v>
      </c>
      <c r="H1423">
        <v>22</v>
      </c>
    </row>
    <row r="1424" spans="1:8" x14ac:dyDescent="0.25">
      <c r="A1424" s="76">
        <v>46441</v>
      </c>
      <c r="B1424" s="78">
        <v>45</v>
      </c>
      <c r="C1424" s="78" t="s">
        <v>26</v>
      </c>
      <c r="D1424" t="s">
        <v>519</v>
      </c>
      <c r="E1424" s="77">
        <v>658800</v>
      </c>
      <c r="H1424">
        <v>10</v>
      </c>
    </row>
    <row r="1425" spans="1:8" x14ac:dyDescent="0.25">
      <c r="A1425" s="76">
        <v>46441</v>
      </c>
      <c r="B1425" s="78">
        <v>47</v>
      </c>
      <c r="C1425" s="78" t="s">
        <v>26</v>
      </c>
      <c r="D1425" t="s">
        <v>522</v>
      </c>
      <c r="E1425" s="77">
        <v>304200</v>
      </c>
      <c r="H1425">
        <v>10</v>
      </c>
    </row>
    <row r="1426" spans="1:8" x14ac:dyDescent="0.25">
      <c r="A1426" s="76">
        <v>46443</v>
      </c>
      <c r="B1426" s="78">
        <v>2511</v>
      </c>
      <c r="C1426" s="78" t="s">
        <v>26</v>
      </c>
      <c r="D1426" t="s">
        <v>171</v>
      </c>
      <c r="E1426" s="77">
        <v>712300</v>
      </c>
      <c r="H1426">
        <v>20</v>
      </c>
    </row>
    <row r="1427" spans="1:8" x14ac:dyDescent="0.25">
      <c r="A1427" s="76">
        <v>46443</v>
      </c>
      <c r="B1427" s="78">
        <v>2828</v>
      </c>
      <c r="C1427" s="78" t="s">
        <v>26</v>
      </c>
      <c r="D1427" t="s">
        <v>309</v>
      </c>
      <c r="E1427" s="77">
        <v>441300</v>
      </c>
      <c r="H1427">
        <v>15</v>
      </c>
    </row>
    <row r="1428" spans="1:8" x14ac:dyDescent="0.25">
      <c r="A1428" s="76">
        <v>46443</v>
      </c>
      <c r="B1428" s="78">
        <v>3151</v>
      </c>
      <c r="C1428" s="78" t="s">
        <v>26</v>
      </c>
      <c r="D1428" t="s">
        <v>444</v>
      </c>
      <c r="E1428" s="77">
        <v>614700</v>
      </c>
      <c r="H1428">
        <v>11</v>
      </c>
    </row>
    <row r="1429" spans="1:8" x14ac:dyDescent="0.25">
      <c r="A1429" s="76">
        <v>46443</v>
      </c>
      <c r="B1429" s="78">
        <v>51</v>
      </c>
      <c r="C1429" s="78" t="s">
        <v>26</v>
      </c>
      <c r="D1429" t="s">
        <v>523</v>
      </c>
      <c r="E1429" s="77">
        <v>242200</v>
      </c>
      <c r="H1429">
        <v>10</v>
      </c>
    </row>
    <row r="1430" spans="1:8" x14ac:dyDescent="0.25">
      <c r="A1430" s="76">
        <v>46443</v>
      </c>
      <c r="B1430" s="78">
        <v>122</v>
      </c>
      <c r="C1430" s="78" t="s">
        <v>26</v>
      </c>
      <c r="D1430" t="s">
        <v>547</v>
      </c>
      <c r="E1430" s="77">
        <v>511200</v>
      </c>
      <c r="H1430">
        <v>9</v>
      </c>
    </row>
    <row r="1431" spans="1:8" x14ac:dyDescent="0.25">
      <c r="A1431" s="76">
        <v>46443</v>
      </c>
      <c r="B1431" s="78">
        <v>123</v>
      </c>
      <c r="C1431" s="78" t="s">
        <v>26</v>
      </c>
      <c r="D1431" t="s">
        <v>548</v>
      </c>
      <c r="E1431" s="77">
        <v>407700</v>
      </c>
      <c r="H1431">
        <v>9</v>
      </c>
    </row>
    <row r="1432" spans="1:8" x14ac:dyDescent="0.25">
      <c r="A1432" s="76">
        <v>46444</v>
      </c>
      <c r="B1432" s="78">
        <v>2919</v>
      </c>
      <c r="C1432" s="78" t="s">
        <v>26</v>
      </c>
      <c r="D1432" t="s">
        <v>369</v>
      </c>
      <c r="E1432" s="77">
        <v>440800</v>
      </c>
      <c r="H1432">
        <v>14</v>
      </c>
    </row>
    <row r="1433" spans="1:8" x14ac:dyDescent="0.25">
      <c r="A1433" s="76">
        <v>46444</v>
      </c>
      <c r="B1433" s="78">
        <v>3157</v>
      </c>
      <c r="C1433" s="78" t="s">
        <v>26</v>
      </c>
      <c r="D1433" t="s">
        <v>447</v>
      </c>
      <c r="E1433" s="77">
        <v>407700</v>
      </c>
      <c r="H1433">
        <v>11</v>
      </c>
    </row>
    <row r="1434" spans="1:8" x14ac:dyDescent="0.25">
      <c r="A1434" s="76">
        <v>46444</v>
      </c>
      <c r="B1434" s="78">
        <v>125</v>
      </c>
      <c r="C1434" s="78" t="s">
        <v>26</v>
      </c>
      <c r="D1434" t="s">
        <v>549</v>
      </c>
      <c r="E1434" s="77">
        <v>922100</v>
      </c>
      <c r="H1434">
        <v>9</v>
      </c>
    </row>
    <row r="1435" spans="1:8" x14ac:dyDescent="0.25">
      <c r="A1435" s="76">
        <v>46444</v>
      </c>
      <c r="B1435" s="78">
        <v>128</v>
      </c>
      <c r="C1435" s="78" t="s">
        <v>26</v>
      </c>
      <c r="D1435" t="s">
        <v>550</v>
      </c>
      <c r="E1435" s="77">
        <v>792800</v>
      </c>
      <c r="H1435">
        <v>9</v>
      </c>
    </row>
    <row r="1436" spans="1:8" x14ac:dyDescent="0.25">
      <c r="A1436" s="76">
        <v>46445</v>
      </c>
      <c r="B1436" s="78">
        <v>3082</v>
      </c>
      <c r="C1436" s="78" t="s">
        <v>26</v>
      </c>
      <c r="D1436" t="s">
        <v>439</v>
      </c>
      <c r="E1436" s="77">
        <v>672000</v>
      </c>
      <c r="H1436">
        <v>12</v>
      </c>
    </row>
    <row r="1437" spans="1:8" x14ac:dyDescent="0.25">
      <c r="A1437" s="76">
        <v>46446</v>
      </c>
      <c r="B1437" s="78">
        <v>3008</v>
      </c>
      <c r="C1437" s="78" t="s">
        <v>26</v>
      </c>
      <c r="D1437" t="s">
        <v>430</v>
      </c>
      <c r="E1437" s="77">
        <v>813500</v>
      </c>
      <c r="H1437">
        <v>13</v>
      </c>
    </row>
    <row r="1438" spans="1:8" x14ac:dyDescent="0.25">
      <c r="A1438" s="76">
        <v>46446</v>
      </c>
      <c r="B1438" s="78">
        <v>3086</v>
      </c>
      <c r="C1438" s="78" t="s">
        <v>26</v>
      </c>
      <c r="D1438" t="s">
        <v>441</v>
      </c>
      <c r="E1438" s="77">
        <v>407700</v>
      </c>
      <c r="H1438">
        <v>12</v>
      </c>
    </row>
    <row r="1439" spans="1:8" x14ac:dyDescent="0.25">
      <c r="A1439" s="76">
        <v>46446</v>
      </c>
      <c r="B1439" s="78">
        <v>3168</v>
      </c>
      <c r="C1439" s="78" t="s">
        <v>26</v>
      </c>
      <c r="D1439" t="s">
        <v>449</v>
      </c>
      <c r="E1439" s="77">
        <v>659900</v>
      </c>
      <c r="H1439">
        <v>11</v>
      </c>
    </row>
    <row r="1440" spans="1:8" x14ac:dyDescent="0.25">
      <c r="A1440" s="76">
        <v>46446</v>
      </c>
      <c r="B1440" s="78">
        <v>3172</v>
      </c>
      <c r="C1440" s="78" t="s">
        <v>26</v>
      </c>
      <c r="D1440" t="s">
        <v>451</v>
      </c>
      <c r="E1440" s="77">
        <v>645700</v>
      </c>
      <c r="H1440">
        <v>11</v>
      </c>
    </row>
    <row r="1441" spans="1:8" x14ac:dyDescent="0.25">
      <c r="A1441" s="76">
        <v>46446</v>
      </c>
      <c r="B1441" s="78">
        <v>65</v>
      </c>
      <c r="C1441" s="78" t="s">
        <v>26</v>
      </c>
      <c r="D1441" t="s">
        <v>527</v>
      </c>
      <c r="E1441" s="77">
        <v>353500</v>
      </c>
      <c r="H1441">
        <v>10</v>
      </c>
    </row>
    <row r="1442" spans="1:8" x14ac:dyDescent="0.25">
      <c r="A1442" s="76">
        <v>46446</v>
      </c>
      <c r="B1442" s="78">
        <v>217</v>
      </c>
      <c r="C1442" s="78" t="s">
        <v>26</v>
      </c>
      <c r="D1442" t="s">
        <v>581</v>
      </c>
      <c r="E1442" s="77">
        <v>614700</v>
      </c>
      <c r="H1442">
        <v>8</v>
      </c>
    </row>
    <row r="1443" spans="1:8" x14ac:dyDescent="0.25">
      <c r="A1443" s="76">
        <v>46448</v>
      </c>
      <c r="B1443" s="78">
        <v>154</v>
      </c>
      <c r="C1443" s="78" t="s">
        <v>26</v>
      </c>
      <c r="D1443" t="s">
        <v>553</v>
      </c>
      <c r="E1443" s="77">
        <v>379100</v>
      </c>
      <c r="H1443">
        <v>9</v>
      </c>
    </row>
    <row r="1444" spans="1:8" x14ac:dyDescent="0.25">
      <c r="A1444" s="76">
        <v>46449</v>
      </c>
      <c r="B1444" s="78">
        <v>2847</v>
      </c>
      <c r="C1444" s="78" t="s">
        <v>26</v>
      </c>
      <c r="D1444" t="s">
        <v>330</v>
      </c>
      <c r="E1444" s="77">
        <v>419300</v>
      </c>
      <c r="H1444">
        <v>15</v>
      </c>
    </row>
    <row r="1445" spans="1:8" x14ac:dyDescent="0.25">
      <c r="A1445" s="76">
        <v>46450</v>
      </c>
      <c r="B1445" s="78">
        <v>2850</v>
      </c>
      <c r="C1445" s="78" t="s">
        <v>26</v>
      </c>
      <c r="D1445" t="s">
        <v>332</v>
      </c>
      <c r="E1445" s="77">
        <v>615100</v>
      </c>
      <c r="H1445">
        <v>15</v>
      </c>
    </row>
    <row r="1446" spans="1:8" x14ac:dyDescent="0.25">
      <c r="A1446" s="76">
        <v>46450</v>
      </c>
      <c r="B1446" s="78">
        <v>2</v>
      </c>
      <c r="C1446" s="78" t="s">
        <v>26</v>
      </c>
      <c r="D1446" t="s">
        <v>457</v>
      </c>
      <c r="E1446" s="77">
        <v>614700</v>
      </c>
      <c r="H1446">
        <v>11</v>
      </c>
    </row>
    <row r="1447" spans="1:8" x14ac:dyDescent="0.25">
      <c r="A1447" s="76">
        <v>46451</v>
      </c>
      <c r="B1447" s="78">
        <v>3099</v>
      </c>
      <c r="C1447" s="78" t="s">
        <v>26</v>
      </c>
      <c r="D1447" t="s">
        <v>443</v>
      </c>
      <c r="E1447" s="77">
        <v>614700</v>
      </c>
      <c r="H1447">
        <v>12</v>
      </c>
    </row>
    <row r="1448" spans="1:8" x14ac:dyDescent="0.25">
      <c r="A1448" s="76">
        <v>46451</v>
      </c>
      <c r="B1448" s="78">
        <v>72</v>
      </c>
      <c r="C1448" s="78" t="s">
        <v>26</v>
      </c>
      <c r="D1448" t="s">
        <v>529</v>
      </c>
      <c r="E1448" s="77">
        <v>450400</v>
      </c>
      <c r="H1448">
        <v>10</v>
      </c>
    </row>
    <row r="1449" spans="1:8" x14ac:dyDescent="0.25">
      <c r="A1449" s="76">
        <v>46451</v>
      </c>
      <c r="B1449" s="78">
        <v>73</v>
      </c>
      <c r="C1449" s="78" t="s">
        <v>26</v>
      </c>
      <c r="D1449" t="s">
        <v>530</v>
      </c>
      <c r="E1449" s="77">
        <v>468900</v>
      </c>
      <c r="H1449">
        <v>10</v>
      </c>
    </row>
    <row r="1450" spans="1:8" x14ac:dyDescent="0.25">
      <c r="A1450" s="76">
        <v>46452</v>
      </c>
      <c r="B1450" s="78">
        <v>2948</v>
      </c>
      <c r="C1450" s="78" t="s">
        <v>26</v>
      </c>
      <c r="D1450" t="s">
        <v>379</v>
      </c>
      <c r="E1450" s="77">
        <v>298000</v>
      </c>
      <c r="H1450">
        <v>14</v>
      </c>
    </row>
    <row r="1451" spans="1:8" x14ac:dyDescent="0.25">
      <c r="A1451" s="76">
        <v>46452</v>
      </c>
      <c r="B1451" s="78">
        <v>232</v>
      </c>
      <c r="C1451" s="78" t="s">
        <v>26</v>
      </c>
      <c r="D1451" t="s">
        <v>591</v>
      </c>
      <c r="E1451" s="77">
        <v>892100</v>
      </c>
      <c r="H1451">
        <v>8</v>
      </c>
    </row>
    <row r="1452" spans="1:8" x14ac:dyDescent="0.25">
      <c r="A1452" s="76">
        <v>46453</v>
      </c>
      <c r="B1452" s="78">
        <v>78</v>
      </c>
      <c r="C1452" s="78" t="s">
        <v>26</v>
      </c>
      <c r="D1452" t="s">
        <v>531</v>
      </c>
      <c r="E1452" s="77">
        <v>614700</v>
      </c>
      <c r="H1452">
        <v>10</v>
      </c>
    </row>
    <row r="1453" spans="1:8" x14ac:dyDescent="0.25">
      <c r="A1453" s="76">
        <v>46454</v>
      </c>
      <c r="B1453" s="78">
        <v>80</v>
      </c>
      <c r="C1453" s="78" t="s">
        <v>26</v>
      </c>
      <c r="D1453" t="s">
        <v>532</v>
      </c>
      <c r="E1453" s="77">
        <v>134100</v>
      </c>
      <c r="H1453">
        <v>10</v>
      </c>
    </row>
    <row r="1454" spans="1:8" x14ac:dyDescent="0.25">
      <c r="A1454" s="76">
        <v>46455</v>
      </c>
      <c r="B1454" s="78">
        <v>2861</v>
      </c>
      <c r="C1454" s="78" t="s">
        <v>26</v>
      </c>
      <c r="D1454" t="s">
        <v>340</v>
      </c>
      <c r="E1454" s="77">
        <v>308200</v>
      </c>
      <c r="H1454">
        <v>15</v>
      </c>
    </row>
    <row r="1455" spans="1:8" x14ac:dyDescent="0.25">
      <c r="A1455" s="76">
        <v>46457</v>
      </c>
      <c r="B1455" s="78">
        <v>86</v>
      </c>
      <c r="C1455" s="78" t="s">
        <v>26</v>
      </c>
      <c r="D1455" t="s">
        <v>534</v>
      </c>
      <c r="E1455" s="77">
        <v>1021400</v>
      </c>
      <c r="H1455">
        <v>10</v>
      </c>
    </row>
    <row r="1456" spans="1:8" x14ac:dyDescent="0.25">
      <c r="A1456" s="76">
        <v>46463</v>
      </c>
      <c r="B1456" s="78">
        <v>2968</v>
      </c>
      <c r="C1456" s="78" t="s">
        <v>26</v>
      </c>
      <c r="D1456" t="s">
        <v>398</v>
      </c>
      <c r="E1456" s="77">
        <v>452200</v>
      </c>
      <c r="H1456">
        <v>14</v>
      </c>
    </row>
    <row r="1457" spans="1:8" x14ac:dyDescent="0.25">
      <c r="A1457" s="76">
        <v>46464</v>
      </c>
      <c r="B1457" s="78">
        <v>3060</v>
      </c>
      <c r="C1457" s="78" t="s">
        <v>26</v>
      </c>
      <c r="D1457" t="s">
        <v>432</v>
      </c>
      <c r="E1457" s="77">
        <v>623600</v>
      </c>
      <c r="H1457">
        <v>13</v>
      </c>
    </row>
    <row r="1458" spans="1:8" x14ac:dyDescent="0.25">
      <c r="A1458" s="76">
        <v>46464</v>
      </c>
      <c r="B1458" s="78">
        <v>31</v>
      </c>
      <c r="C1458" s="78" t="s">
        <v>26</v>
      </c>
      <c r="D1458" t="s">
        <v>501</v>
      </c>
      <c r="E1458" s="77">
        <v>581500</v>
      </c>
      <c r="H1458">
        <v>11</v>
      </c>
    </row>
    <row r="1459" spans="1:8" x14ac:dyDescent="0.25">
      <c r="A1459" s="76">
        <v>46465</v>
      </c>
      <c r="B1459" s="78">
        <v>2810</v>
      </c>
      <c r="C1459" s="78" t="s">
        <v>26</v>
      </c>
      <c r="D1459" t="s">
        <v>318</v>
      </c>
      <c r="E1459" s="77">
        <v>557500</v>
      </c>
      <c r="H1459">
        <v>16</v>
      </c>
    </row>
    <row r="1460" spans="1:8" x14ac:dyDescent="0.25">
      <c r="A1460" s="76">
        <v>46465</v>
      </c>
      <c r="B1460" s="78">
        <v>3062</v>
      </c>
      <c r="C1460" s="78" t="s">
        <v>26</v>
      </c>
      <c r="D1460" t="s">
        <v>435</v>
      </c>
      <c r="E1460" s="77">
        <v>452200</v>
      </c>
      <c r="H1460">
        <v>13</v>
      </c>
    </row>
    <row r="1461" spans="1:8" x14ac:dyDescent="0.25">
      <c r="A1461" s="76">
        <v>46466</v>
      </c>
      <c r="B1461" s="78">
        <v>3068</v>
      </c>
      <c r="C1461" s="78" t="s">
        <v>26</v>
      </c>
      <c r="D1461" t="s">
        <v>437</v>
      </c>
      <c r="E1461" s="77">
        <v>450400</v>
      </c>
      <c r="H1461">
        <v>13</v>
      </c>
    </row>
    <row r="1462" spans="1:8" x14ac:dyDescent="0.25">
      <c r="A1462" s="76">
        <v>46467</v>
      </c>
      <c r="B1462" s="78">
        <v>1112</v>
      </c>
      <c r="C1462" s="78" t="s">
        <v>240</v>
      </c>
      <c r="D1462" t="s">
        <v>467</v>
      </c>
      <c r="E1462" s="77">
        <v>649000</v>
      </c>
      <c r="H1462">
        <v>14</v>
      </c>
    </row>
    <row r="1463" spans="1:8" x14ac:dyDescent="0.25">
      <c r="A1463" s="76">
        <v>46468</v>
      </c>
      <c r="B1463" s="78">
        <v>2346</v>
      </c>
      <c r="C1463" s="78" t="s">
        <v>26</v>
      </c>
      <c r="D1463" t="s">
        <v>111</v>
      </c>
      <c r="E1463" s="77">
        <v>656200</v>
      </c>
      <c r="H1463">
        <v>23</v>
      </c>
    </row>
    <row r="1464" spans="1:8" x14ac:dyDescent="0.25">
      <c r="A1464" s="76">
        <v>46469</v>
      </c>
      <c r="B1464" s="78">
        <v>45</v>
      </c>
      <c r="C1464" s="78" t="s">
        <v>26</v>
      </c>
      <c r="D1464" t="s">
        <v>519</v>
      </c>
      <c r="E1464" s="77">
        <v>658800</v>
      </c>
      <c r="H1464">
        <v>11</v>
      </c>
    </row>
    <row r="1465" spans="1:8" x14ac:dyDescent="0.25">
      <c r="A1465" s="76">
        <v>46469</v>
      </c>
      <c r="B1465" s="78">
        <v>47</v>
      </c>
      <c r="C1465" s="78" t="s">
        <v>26</v>
      </c>
      <c r="D1465" t="s">
        <v>522</v>
      </c>
      <c r="E1465" s="77">
        <v>304200</v>
      </c>
      <c r="H1465">
        <v>11</v>
      </c>
    </row>
    <row r="1466" spans="1:8" x14ac:dyDescent="0.25">
      <c r="A1466" s="76">
        <v>46471</v>
      </c>
      <c r="B1466" s="78">
        <v>2511</v>
      </c>
      <c r="C1466" s="78" t="s">
        <v>26</v>
      </c>
      <c r="D1466" t="s">
        <v>171</v>
      </c>
      <c r="E1466" s="77">
        <v>712300</v>
      </c>
      <c r="H1466">
        <v>21</v>
      </c>
    </row>
    <row r="1467" spans="1:8" x14ac:dyDescent="0.25">
      <c r="A1467" s="76">
        <v>46471</v>
      </c>
      <c r="B1467" s="78">
        <v>2828</v>
      </c>
      <c r="C1467" s="78" t="s">
        <v>26</v>
      </c>
      <c r="D1467" t="s">
        <v>309</v>
      </c>
      <c r="E1467" s="77">
        <v>441300</v>
      </c>
      <c r="H1467">
        <v>16</v>
      </c>
    </row>
    <row r="1468" spans="1:8" x14ac:dyDescent="0.25">
      <c r="A1468" s="76">
        <v>46471</v>
      </c>
      <c r="B1468" s="78">
        <v>3151</v>
      </c>
      <c r="C1468" s="78" t="s">
        <v>26</v>
      </c>
      <c r="D1468" t="s">
        <v>444</v>
      </c>
      <c r="E1468" s="77">
        <v>614700</v>
      </c>
      <c r="H1468">
        <v>12</v>
      </c>
    </row>
    <row r="1469" spans="1:8" x14ac:dyDescent="0.25">
      <c r="A1469" s="76">
        <v>46471</v>
      </c>
      <c r="B1469" s="78">
        <v>51</v>
      </c>
      <c r="C1469" s="78" t="s">
        <v>26</v>
      </c>
      <c r="D1469" t="s">
        <v>523</v>
      </c>
      <c r="E1469" s="77">
        <v>242200</v>
      </c>
      <c r="H1469">
        <v>11</v>
      </c>
    </row>
    <row r="1470" spans="1:8" x14ac:dyDescent="0.25">
      <c r="A1470" s="76">
        <v>46471</v>
      </c>
      <c r="B1470" s="78">
        <v>122</v>
      </c>
      <c r="C1470" s="78" t="s">
        <v>26</v>
      </c>
      <c r="D1470" t="s">
        <v>547</v>
      </c>
      <c r="E1470" s="77">
        <v>511200</v>
      </c>
      <c r="H1470">
        <v>10</v>
      </c>
    </row>
    <row r="1471" spans="1:8" x14ac:dyDescent="0.25">
      <c r="A1471" s="76">
        <v>46471</v>
      </c>
      <c r="B1471" s="78">
        <v>123</v>
      </c>
      <c r="C1471" s="78" t="s">
        <v>26</v>
      </c>
      <c r="D1471" t="s">
        <v>548</v>
      </c>
      <c r="E1471" s="77">
        <v>407700</v>
      </c>
      <c r="H1471">
        <v>10</v>
      </c>
    </row>
    <row r="1472" spans="1:8" x14ac:dyDescent="0.25">
      <c r="A1472" s="76">
        <v>46472</v>
      </c>
      <c r="B1472" s="78">
        <v>2919</v>
      </c>
      <c r="C1472" s="78" t="s">
        <v>26</v>
      </c>
      <c r="D1472" t="s">
        <v>369</v>
      </c>
      <c r="E1472" s="77">
        <v>440800</v>
      </c>
      <c r="H1472">
        <v>15</v>
      </c>
    </row>
    <row r="1473" spans="1:8" x14ac:dyDescent="0.25">
      <c r="A1473" s="76">
        <v>46472</v>
      </c>
      <c r="B1473" s="78">
        <v>3157</v>
      </c>
      <c r="C1473" s="78" t="s">
        <v>26</v>
      </c>
      <c r="D1473" t="s">
        <v>447</v>
      </c>
      <c r="E1473" s="77">
        <v>407700</v>
      </c>
      <c r="H1473">
        <v>12</v>
      </c>
    </row>
    <row r="1474" spans="1:8" x14ac:dyDescent="0.25">
      <c r="A1474" s="76">
        <v>46472</v>
      </c>
      <c r="B1474" s="78">
        <v>125</v>
      </c>
      <c r="C1474" s="78" t="s">
        <v>26</v>
      </c>
      <c r="D1474" t="s">
        <v>549</v>
      </c>
      <c r="E1474" s="77">
        <v>922100</v>
      </c>
      <c r="H1474">
        <v>10</v>
      </c>
    </row>
    <row r="1475" spans="1:8" x14ac:dyDescent="0.25">
      <c r="A1475" s="76">
        <v>46472</v>
      </c>
      <c r="B1475" s="78">
        <v>128</v>
      </c>
      <c r="C1475" s="78" t="s">
        <v>26</v>
      </c>
      <c r="D1475" t="s">
        <v>550</v>
      </c>
      <c r="E1475" s="77">
        <v>792800</v>
      </c>
      <c r="H1475">
        <v>10</v>
      </c>
    </row>
    <row r="1476" spans="1:8" x14ac:dyDescent="0.25">
      <c r="A1476" s="76">
        <v>46473</v>
      </c>
      <c r="B1476" s="78">
        <v>3082</v>
      </c>
      <c r="C1476" s="78" t="s">
        <v>26</v>
      </c>
      <c r="D1476" t="s">
        <v>439</v>
      </c>
      <c r="E1476" s="77">
        <v>672000</v>
      </c>
      <c r="H1476">
        <v>13</v>
      </c>
    </row>
    <row r="1477" spans="1:8" x14ac:dyDescent="0.25">
      <c r="A1477" s="76">
        <v>46476</v>
      </c>
      <c r="B1477" s="78">
        <v>3168</v>
      </c>
      <c r="C1477" s="78" t="s">
        <v>26</v>
      </c>
      <c r="D1477" t="s">
        <v>449</v>
      </c>
      <c r="E1477" s="77">
        <v>659900</v>
      </c>
      <c r="H1477">
        <v>12</v>
      </c>
    </row>
    <row r="1478" spans="1:8" x14ac:dyDescent="0.25">
      <c r="A1478" s="76">
        <v>46476</v>
      </c>
      <c r="B1478" s="78">
        <v>3172</v>
      </c>
      <c r="C1478" s="78" t="s">
        <v>26</v>
      </c>
      <c r="D1478" t="s">
        <v>451</v>
      </c>
      <c r="E1478" s="77">
        <v>645700</v>
      </c>
      <c r="H1478">
        <v>12</v>
      </c>
    </row>
    <row r="1479" spans="1:8" x14ac:dyDescent="0.25">
      <c r="A1479" s="76">
        <v>46476</v>
      </c>
      <c r="B1479" s="78">
        <v>217</v>
      </c>
      <c r="C1479" s="78" t="s">
        <v>26</v>
      </c>
      <c r="D1479" t="s">
        <v>581</v>
      </c>
      <c r="E1479" s="77">
        <v>614700</v>
      </c>
      <c r="H1479">
        <v>9</v>
      </c>
    </row>
    <row r="1480" spans="1:8" x14ac:dyDescent="0.25">
      <c r="A1480" s="76">
        <v>46477</v>
      </c>
      <c r="B1480" s="78">
        <v>3008</v>
      </c>
      <c r="C1480" s="78" t="s">
        <v>26</v>
      </c>
      <c r="D1480" t="s">
        <v>430</v>
      </c>
      <c r="E1480" s="77">
        <v>813500</v>
      </c>
      <c r="H1480">
        <v>14</v>
      </c>
    </row>
    <row r="1481" spans="1:8" x14ac:dyDescent="0.25">
      <c r="A1481" s="76">
        <v>46479</v>
      </c>
      <c r="B1481" s="78">
        <v>154</v>
      </c>
      <c r="C1481" s="78" t="s">
        <v>26</v>
      </c>
      <c r="D1481" t="s">
        <v>553</v>
      </c>
      <c r="E1481" s="77">
        <v>379100</v>
      </c>
      <c r="H1481">
        <v>10</v>
      </c>
    </row>
    <row r="1482" spans="1:8" x14ac:dyDescent="0.25">
      <c r="A1482" s="76">
        <v>46480</v>
      </c>
      <c r="B1482" s="78">
        <v>2847</v>
      </c>
      <c r="C1482" s="78" t="s">
        <v>26</v>
      </c>
      <c r="D1482" t="s">
        <v>330</v>
      </c>
      <c r="E1482" s="77">
        <v>419300</v>
      </c>
      <c r="H1482">
        <v>16</v>
      </c>
    </row>
    <row r="1483" spans="1:8" x14ac:dyDescent="0.25">
      <c r="A1483" s="76">
        <v>46481</v>
      </c>
      <c r="B1483" s="78">
        <v>2850</v>
      </c>
      <c r="C1483" s="78" t="s">
        <v>26</v>
      </c>
      <c r="D1483" t="s">
        <v>332</v>
      </c>
      <c r="E1483" s="77">
        <v>615100</v>
      </c>
      <c r="H1483">
        <v>16</v>
      </c>
    </row>
    <row r="1484" spans="1:8" x14ac:dyDescent="0.25">
      <c r="A1484" s="76">
        <v>46481</v>
      </c>
      <c r="B1484" s="78">
        <v>2</v>
      </c>
      <c r="C1484" s="78" t="s">
        <v>26</v>
      </c>
      <c r="D1484" t="s">
        <v>457</v>
      </c>
      <c r="E1484" s="77">
        <v>614700</v>
      </c>
      <c r="H1484">
        <v>12</v>
      </c>
    </row>
    <row r="1485" spans="1:8" x14ac:dyDescent="0.25">
      <c r="A1485" s="76">
        <v>46482</v>
      </c>
      <c r="B1485" s="78">
        <v>72</v>
      </c>
      <c r="C1485" s="78" t="s">
        <v>26</v>
      </c>
      <c r="D1485" t="s">
        <v>529</v>
      </c>
      <c r="E1485" s="77">
        <v>450400</v>
      </c>
      <c r="H1485">
        <v>11</v>
      </c>
    </row>
    <row r="1486" spans="1:8" x14ac:dyDescent="0.25">
      <c r="A1486" s="76">
        <v>46483</v>
      </c>
      <c r="B1486" s="78">
        <v>2948</v>
      </c>
      <c r="C1486" s="78" t="s">
        <v>26</v>
      </c>
      <c r="D1486" t="s">
        <v>379</v>
      </c>
      <c r="E1486" s="77">
        <v>298000</v>
      </c>
      <c r="H1486">
        <v>15</v>
      </c>
    </row>
    <row r="1487" spans="1:8" x14ac:dyDescent="0.25">
      <c r="A1487" s="76">
        <v>46483</v>
      </c>
      <c r="B1487" s="78">
        <v>232</v>
      </c>
      <c r="C1487" s="78" t="s">
        <v>26</v>
      </c>
      <c r="D1487" t="s">
        <v>591</v>
      </c>
      <c r="E1487" s="77">
        <v>892100</v>
      </c>
      <c r="H1487">
        <v>9</v>
      </c>
    </row>
    <row r="1488" spans="1:8" x14ac:dyDescent="0.25">
      <c r="A1488" s="76">
        <v>46484</v>
      </c>
      <c r="B1488" s="78">
        <v>78</v>
      </c>
      <c r="C1488" s="78" t="s">
        <v>26</v>
      </c>
      <c r="D1488" t="s">
        <v>531</v>
      </c>
      <c r="E1488" s="77">
        <v>614700</v>
      </c>
      <c r="H1488">
        <v>11</v>
      </c>
    </row>
    <row r="1489" spans="1:8" x14ac:dyDescent="0.25">
      <c r="A1489" s="76">
        <v>46485</v>
      </c>
      <c r="B1489" s="78">
        <v>80</v>
      </c>
      <c r="C1489" s="78" t="s">
        <v>26</v>
      </c>
      <c r="D1489" t="s">
        <v>532</v>
      </c>
      <c r="E1489" s="77">
        <v>134100</v>
      </c>
      <c r="H1489">
        <v>11</v>
      </c>
    </row>
    <row r="1490" spans="1:8" x14ac:dyDescent="0.25">
      <c r="A1490" s="76">
        <v>46486</v>
      </c>
      <c r="B1490" s="78">
        <v>2861</v>
      </c>
      <c r="C1490" s="78" t="s">
        <v>26</v>
      </c>
      <c r="D1490" t="s">
        <v>340</v>
      </c>
      <c r="E1490" s="77">
        <v>308200</v>
      </c>
      <c r="H1490">
        <v>16</v>
      </c>
    </row>
    <row r="1491" spans="1:8" x14ac:dyDescent="0.25">
      <c r="A1491" s="76">
        <v>46488</v>
      </c>
      <c r="B1491" s="78">
        <v>86</v>
      </c>
      <c r="C1491" s="78" t="s">
        <v>26</v>
      </c>
      <c r="D1491" t="s">
        <v>534</v>
      </c>
      <c r="E1491" s="77">
        <v>1021400</v>
      </c>
      <c r="H1491">
        <v>11</v>
      </c>
    </row>
    <row r="1492" spans="1:8" x14ac:dyDescent="0.25">
      <c r="A1492" s="76">
        <v>46494</v>
      </c>
      <c r="B1492" s="78">
        <v>2968</v>
      </c>
      <c r="C1492" s="78" t="s">
        <v>26</v>
      </c>
      <c r="D1492" t="s">
        <v>398</v>
      </c>
      <c r="E1492" s="77">
        <v>452200</v>
      </c>
      <c r="H1492">
        <v>15</v>
      </c>
    </row>
    <row r="1493" spans="1:8" x14ac:dyDescent="0.25">
      <c r="A1493" s="76">
        <v>46495</v>
      </c>
      <c r="B1493" s="78">
        <v>3060</v>
      </c>
      <c r="C1493" s="78" t="s">
        <v>26</v>
      </c>
      <c r="D1493" t="s">
        <v>432</v>
      </c>
      <c r="E1493" s="77">
        <v>623600</v>
      </c>
      <c r="H1493">
        <v>14</v>
      </c>
    </row>
    <row r="1494" spans="1:8" x14ac:dyDescent="0.25">
      <c r="A1494" s="76">
        <v>46495</v>
      </c>
      <c r="B1494" s="78">
        <v>31</v>
      </c>
      <c r="C1494" s="78" t="s">
        <v>26</v>
      </c>
      <c r="D1494" t="s">
        <v>501</v>
      </c>
      <c r="E1494" s="77">
        <v>581500</v>
      </c>
      <c r="H1494">
        <v>12</v>
      </c>
    </row>
    <row r="1495" spans="1:8" x14ac:dyDescent="0.25">
      <c r="A1495" s="76">
        <v>46496</v>
      </c>
      <c r="B1495" s="78">
        <v>2810</v>
      </c>
      <c r="C1495" s="78" t="s">
        <v>26</v>
      </c>
      <c r="D1495" t="s">
        <v>318</v>
      </c>
      <c r="E1495" s="77">
        <v>557500</v>
      </c>
      <c r="H1495">
        <v>17</v>
      </c>
    </row>
    <row r="1496" spans="1:8" x14ac:dyDescent="0.25">
      <c r="A1496" s="76">
        <v>46496</v>
      </c>
      <c r="B1496" s="78">
        <v>3062</v>
      </c>
      <c r="C1496" s="78" t="s">
        <v>26</v>
      </c>
      <c r="D1496" t="s">
        <v>435</v>
      </c>
      <c r="E1496" s="77">
        <v>452200</v>
      </c>
      <c r="H1496">
        <v>14</v>
      </c>
    </row>
    <row r="1497" spans="1:8" x14ac:dyDescent="0.25">
      <c r="A1497" s="76">
        <v>46497</v>
      </c>
      <c r="B1497" s="78">
        <v>3068</v>
      </c>
      <c r="C1497" s="78" t="s">
        <v>26</v>
      </c>
      <c r="D1497" t="s">
        <v>437</v>
      </c>
      <c r="E1497" s="77">
        <v>450400</v>
      </c>
      <c r="H1497">
        <v>14</v>
      </c>
    </row>
    <row r="1498" spans="1:8" x14ac:dyDescent="0.25">
      <c r="A1498" s="76">
        <v>46498</v>
      </c>
      <c r="B1498" s="78">
        <v>1112</v>
      </c>
      <c r="C1498" s="78" t="s">
        <v>240</v>
      </c>
      <c r="D1498" t="s">
        <v>467</v>
      </c>
      <c r="E1498" s="77">
        <v>649000</v>
      </c>
      <c r="H1498">
        <v>15</v>
      </c>
    </row>
    <row r="1499" spans="1:8" x14ac:dyDescent="0.25">
      <c r="A1499" s="76">
        <v>46499</v>
      </c>
      <c r="B1499" s="78">
        <v>2346</v>
      </c>
      <c r="C1499" s="78" t="s">
        <v>26</v>
      </c>
      <c r="D1499" t="s">
        <v>111</v>
      </c>
      <c r="E1499" s="77">
        <v>656200</v>
      </c>
      <c r="H1499">
        <v>24</v>
      </c>
    </row>
    <row r="1500" spans="1:8" x14ac:dyDescent="0.25">
      <c r="A1500" s="76">
        <v>46500</v>
      </c>
      <c r="B1500" s="78">
        <v>45</v>
      </c>
      <c r="C1500" s="78" t="s">
        <v>26</v>
      </c>
      <c r="D1500" t="s">
        <v>519</v>
      </c>
      <c r="E1500" s="77">
        <v>658800</v>
      </c>
      <c r="H1500">
        <v>12</v>
      </c>
    </row>
    <row r="1501" spans="1:8" x14ac:dyDescent="0.25">
      <c r="A1501" s="76">
        <v>46500</v>
      </c>
      <c r="B1501" s="78">
        <v>47</v>
      </c>
      <c r="C1501" s="78" t="s">
        <v>26</v>
      </c>
      <c r="D1501" t="s">
        <v>522</v>
      </c>
      <c r="E1501" s="77">
        <v>304200</v>
      </c>
      <c r="H1501">
        <v>12</v>
      </c>
    </row>
    <row r="1502" spans="1:8" x14ac:dyDescent="0.25">
      <c r="A1502" s="76">
        <v>46502</v>
      </c>
      <c r="B1502" s="78">
        <v>2511</v>
      </c>
      <c r="C1502" s="78" t="s">
        <v>26</v>
      </c>
      <c r="D1502" t="s">
        <v>171</v>
      </c>
      <c r="E1502" s="77">
        <v>712300</v>
      </c>
      <c r="H1502">
        <v>22</v>
      </c>
    </row>
    <row r="1503" spans="1:8" x14ac:dyDescent="0.25">
      <c r="A1503" s="76">
        <v>46502</v>
      </c>
      <c r="B1503" s="78">
        <v>2828</v>
      </c>
      <c r="C1503" s="78" t="s">
        <v>26</v>
      </c>
      <c r="D1503" t="s">
        <v>309</v>
      </c>
      <c r="E1503" s="77">
        <v>441300</v>
      </c>
      <c r="H1503">
        <v>17</v>
      </c>
    </row>
    <row r="1504" spans="1:8" x14ac:dyDescent="0.25">
      <c r="A1504" s="76">
        <v>46502</v>
      </c>
      <c r="B1504" s="78">
        <v>51</v>
      </c>
      <c r="C1504" s="78" t="s">
        <v>26</v>
      </c>
      <c r="D1504" t="s">
        <v>523</v>
      </c>
      <c r="E1504" s="77">
        <v>242200</v>
      </c>
      <c r="H1504">
        <v>12</v>
      </c>
    </row>
    <row r="1505" spans="1:8" x14ac:dyDescent="0.25">
      <c r="A1505" s="76">
        <v>46502</v>
      </c>
      <c r="B1505" s="78">
        <v>122</v>
      </c>
      <c r="C1505" s="78" t="s">
        <v>26</v>
      </c>
      <c r="D1505" t="s">
        <v>547</v>
      </c>
      <c r="E1505" s="77">
        <v>511200</v>
      </c>
      <c r="H1505">
        <v>11</v>
      </c>
    </row>
    <row r="1506" spans="1:8" x14ac:dyDescent="0.25">
      <c r="A1506" s="76">
        <v>46502</v>
      </c>
      <c r="B1506" s="78">
        <v>123</v>
      </c>
      <c r="C1506" s="78" t="s">
        <v>26</v>
      </c>
      <c r="D1506" t="s">
        <v>548</v>
      </c>
      <c r="E1506" s="77">
        <v>407700</v>
      </c>
      <c r="H1506">
        <v>11</v>
      </c>
    </row>
    <row r="1507" spans="1:8" x14ac:dyDescent="0.25">
      <c r="A1507" s="76">
        <v>46503</v>
      </c>
      <c r="B1507" s="78">
        <v>2919</v>
      </c>
      <c r="C1507" s="78" t="s">
        <v>26</v>
      </c>
      <c r="D1507" t="s">
        <v>369</v>
      </c>
      <c r="E1507" s="77">
        <v>440800</v>
      </c>
      <c r="H1507">
        <v>16</v>
      </c>
    </row>
    <row r="1508" spans="1:8" x14ac:dyDescent="0.25">
      <c r="A1508" s="76">
        <v>46503</v>
      </c>
      <c r="B1508" s="78">
        <v>128</v>
      </c>
      <c r="C1508" s="78" t="s">
        <v>26</v>
      </c>
      <c r="D1508" t="s">
        <v>550</v>
      </c>
      <c r="E1508" s="77">
        <v>792800</v>
      </c>
      <c r="H1508">
        <v>11</v>
      </c>
    </row>
    <row r="1509" spans="1:8" x14ac:dyDescent="0.25">
      <c r="A1509" s="76">
        <v>46504</v>
      </c>
      <c r="B1509" s="78">
        <v>3082</v>
      </c>
      <c r="C1509" s="78" t="s">
        <v>26</v>
      </c>
      <c r="D1509" t="s">
        <v>439</v>
      </c>
      <c r="E1509" s="77">
        <v>672000</v>
      </c>
      <c r="H1509">
        <v>14</v>
      </c>
    </row>
    <row r="1510" spans="1:8" x14ac:dyDescent="0.25">
      <c r="A1510" s="76">
        <v>46507</v>
      </c>
      <c r="B1510" s="78">
        <v>3008</v>
      </c>
      <c r="C1510" s="78" t="s">
        <v>26</v>
      </c>
      <c r="D1510" t="s">
        <v>430</v>
      </c>
      <c r="E1510" s="77">
        <v>813500</v>
      </c>
      <c r="H1510">
        <v>15</v>
      </c>
    </row>
    <row r="1511" spans="1:8" x14ac:dyDescent="0.25">
      <c r="A1511" s="76">
        <v>46507</v>
      </c>
      <c r="B1511" s="78">
        <v>3168</v>
      </c>
      <c r="C1511" s="78" t="s">
        <v>26</v>
      </c>
      <c r="D1511" t="s">
        <v>449</v>
      </c>
      <c r="E1511" s="77">
        <v>659900</v>
      </c>
      <c r="H1511">
        <v>13</v>
      </c>
    </row>
    <row r="1512" spans="1:8" x14ac:dyDescent="0.25">
      <c r="A1512" s="76">
        <v>46507</v>
      </c>
      <c r="B1512" s="78">
        <v>217</v>
      </c>
      <c r="C1512" s="78" t="s">
        <v>26</v>
      </c>
      <c r="D1512" t="s">
        <v>581</v>
      </c>
      <c r="E1512" s="77">
        <v>614700</v>
      </c>
      <c r="H1512">
        <v>10</v>
      </c>
    </row>
    <row r="1513" spans="1:8" x14ac:dyDescent="0.25">
      <c r="A1513" s="76">
        <v>46509</v>
      </c>
      <c r="B1513" s="78">
        <v>154</v>
      </c>
      <c r="C1513" s="78" t="s">
        <v>26</v>
      </c>
      <c r="D1513" t="s">
        <v>553</v>
      </c>
      <c r="E1513" s="77">
        <v>379100</v>
      </c>
      <c r="H1513">
        <v>11</v>
      </c>
    </row>
    <row r="1514" spans="1:8" x14ac:dyDescent="0.25">
      <c r="A1514" s="76">
        <v>46510</v>
      </c>
      <c r="B1514" s="78">
        <v>2847</v>
      </c>
      <c r="C1514" s="78" t="s">
        <v>26</v>
      </c>
      <c r="D1514" t="s">
        <v>330</v>
      </c>
      <c r="E1514" s="77">
        <v>419300</v>
      </c>
      <c r="H1514">
        <v>17</v>
      </c>
    </row>
    <row r="1515" spans="1:8" x14ac:dyDescent="0.25">
      <c r="A1515" s="76">
        <v>46511</v>
      </c>
      <c r="B1515" s="78">
        <v>2850</v>
      </c>
      <c r="C1515" s="78" t="s">
        <v>26</v>
      </c>
      <c r="D1515" t="s">
        <v>332</v>
      </c>
      <c r="E1515" s="77">
        <v>615100</v>
      </c>
      <c r="H1515">
        <v>17</v>
      </c>
    </row>
    <row r="1516" spans="1:8" x14ac:dyDescent="0.25">
      <c r="A1516" s="76">
        <v>46512</v>
      </c>
      <c r="B1516" s="78">
        <v>72</v>
      </c>
      <c r="C1516" s="78" t="s">
        <v>26</v>
      </c>
      <c r="D1516" t="s">
        <v>529</v>
      </c>
      <c r="E1516" s="77">
        <v>450400</v>
      </c>
      <c r="H1516">
        <v>12</v>
      </c>
    </row>
    <row r="1517" spans="1:8" x14ac:dyDescent="0.25">
      <c r="A1517" s="76">
        <v>46513</v>
      </c>
      <c r="B1517" s="78">
        <v>2948</v>
      </c>
      <c r="C1517" s="78" t="s">
        <v>26</v>
      </c>
      <c r="D1517" t="s">
        <v>379</v>
      </c>
      <c r="E1517" s="77">
        <v>298000</v>
      </c>
      <c r="H1517">
        <v>16</v>
      </c>
    </row>
    <row r="1518" spans="1:8" x14ac:dyDescent="0.25">
      <c r="A1518" s="76">
        <v>46513</v>
      </c>
      <c r="B1518" s="78">
        <v>232</v>
      </c>
      <c r="C1518" s="78" t="s">
        <v>26</v>
      </c>
      <c r="D1518" t="s">
        <v>591</v>
      </c>
      <c r="E1518" s="77">
        <v>892100</v>
      </c>
      <c r="H1518">
        <v>10</v>
      </c>
    </row>
    <row r="1519" spans="1:8" x14ac:dyDescent="0.25">
      <c r="A1519" s="76">
        <v>46514</v>
      </c>
      <c r="B1519" s="78">
        <v>78</v>
      </c>
      <c r="C1519" s="78" t="s">
        <v>26</v>
      </c>
      <c r="D1519" t="s">
        <v>531</v>
      </c>
      <c r="E1519" s="77">
        <v>614700</v>
      </c>
      <c r="H1519">
        <v>12</v>
      </c>
    </row>
    <row r="1520" spans="1:8" x14ac:dyDescent="0.25">
      <c r="A1520" s="76">
        <v>46515</v>
      </c>
      <c r="B1520" s="78">
        <v>80</v>
      </c>
      <c r="C1520" s="78" t="s">
        <v>26</v>
      </c>
      <c r="D1520" t="s">
        <v>532</v>
      </c>
      <c r="E1520" s="77">
        <v>134100</v>
      </c>
      <c r="H1520">
        <v>12</v>
      </c>
    </row>
    <row r="1521" spans="1:8" x14ac:dyDescent="0.25">
      <c r="A1521" s="76">
        <v>46516</v>
      </c>
      <c r="B1521" s="78">
        <v>2861</v>
      </c>
      <c r="C1521" s="78" t="s">
        <v>26</v>
      </c>
      <c r="D1521" t="s">
        <v>340</v>
      </c>
      <c r="E1521" s="77">
        <v>308200</v>
      </c>
      <c r="H1521">
        <v>17</v>
      </c>
    </row>
    <row r="1522" spans="1:8" x14ac:dyDescent="0.25">
      <c r="A1522" s="76">
        <v>46518</v>
      </c>
      <c r="B1522" s="78">
        <v>86</v>
      </c>
      <c r="C1522" s="78" t="s">
        <v>26</v>
      </c>
      <c r="D1522" t="s">
        <v>534</v>
      </c>
      <c r="E1522" s="77">
        <v>1021400</v>
      </c>
      <c r="H1522">
        <v>12</v>
      </c>
    </row>
    <row r="1523" spans="1:8" x14ac:dyDescent="0.25">
      <c r="A1523" s="76">
        <v>46524</v>
      </c>
      <c r="B1523" s="78">
        <v>2968</v>
      </c>
      <c r="C1523" s="78" t="s">
        <v>26</v>
      </c>
      <c r="D1523" t="s">
        <v>398</v>
      </c>
      <c r="E1523" s="77">
        <v>452200</v>
      </c>
      <c r="H1523">
        <v>16</v>
      </c>
    </row>
    <row r="1524" spans="1:8" x14ac:dyDescent="0.25">
      <c r="A1524" s="76">
        <v>46525</v>
      </c>
      <c r="B1524" s="78">
        <v>3060</v>
      </c>
      <c r="C1524" s="78" t="s">
        <v>26</v>
      </c>
      <c r="D1524" t="s">
        <v>432</v>
      </c>
      <c r="E1524" s="77">
        <v>623600</v>
      </c>
      <c r="H1524">
        <v>15</v>
      </c>
    </row>
    <row r="1525" spans="1:8" x14ac:dyDescent="0.25">
      <c r="A1525" s="76">
        <v>46525</v>
      </c>
      <c r="B1525" s="78">
        <v>31</v>
      </c>
      <c r="C1525" s="78" t="s">
        <v>26</v>
      </c>
      <c r="D1525" t="s">
        <v>501</v>
      </c>
      <c r="E1525" s="77">
        <v>581500</v>
      </c>
      <c r="H1525">
        <v>13</v>
      </c>
    </row>
    <row r="1526" spans="1:8" x14ac:dyDescent="0.25">
      <c r="A1526" s="76">
        <v>46526</v>
      </c>
      <c r="B1526" s="78">
        <v>2810</v>
      </c>
      <c r="C1526" s="78" t="s">
        <v>26</v>
      </c>
      <c r="D1526" t="s">
        <v>318</v>
      </c>
      <c r="E1526" s="77">
        <v>557500</v>
      </c>
      <c r="H1526">
        <v>18</v>
      </c>
    </row>
    <row r="1527" spans="1:8" x14ac:dyDescent="0.25">
      <c r="A1527" s="76">
        <v>46526</v>
      </c>
      <c r="B1527" s="78">
        <v>3062</v>
      </c>
      <c r="C1527" s="78" t="s">
        <v>26</v>
      </c>
      <c r="D1527" t="s">
        <v>435</v>
      </c>
      <c r="E1527" s="77">
        <v>452200</v>
      </c>
      <c r="H1527">
        <v>15</v>
      </c>
    </row>
    <row r="1528" spans="1:8" x14ac:dyDescent="0.25">
      <c r="A1528" s="76">
        <v>46527</v>
      </c>
      <c r="B1528" s="78">
        <v>3068</v>
      </c>
      <c r="C1528" s="78" t="s">
        <v>26</v>
      </c>
      <c r="D1528" t="s">
        <v>437</v>
      </c>
      <c r="E1528" s="77">
        <v>450400</v>
      </c>
      <c r="H1528">
        <v>15</v>
      </c>
    </row>
    <row r="1529" spans="1:8" x14ac:dyDescent="0.25">
      <c r="A1529" s="76">
        <v>46528</v>
      </c>
      <c r="B1529" s="78">
        <v>1112</v>
      </c>
      <c r="C1529" s="78" t="s">
        <v>240</v>
      </c>
      <c r="D1529" t="s">
        <v>467</v>
      </c>
      <c r="E1529" s="77">
        <v>649000</v>
      </c>
      <c r="H1529">
        <v>16</v>
      </c>
    </row>
    <row r="1530" spans="1:8" x14ac:dyDescent="0.25">
      <c r="A1530" s="76">
        <v>46530</v>
      </c>
      <c r="B1530" s="78">
        <v>45</v>
      </c>
      <c r="C1530" s="78" t="s">
        <v>26</v>
      </c>
      <c r="D1530" t="s">
        <v>519</v>
      </c>
      <c r="E1530" s="77">
        <v>658800</v>
      </c>
      <c r="H1530">
        <v>13</v>
      </c>
    </row>
    <row r="1531" spans="1:8" x14ac:dyDescent="0.25">
      <c r="A1531" s="76">
        <v>46532</v>
      </c>
      <c r="B1531" s="78">
        <v>2511</v>
      </c>
      <c r="C1531" s="78" t="s">
        <v>26</v>
      </c>
      <c r="D1531" t="s">
        <v>171</v>
      </c>
      <c r="E1531" s="77">
        <v>712300</v>
      </c>
      <c r="H1531">
        <v>23</v>
      </c>
    </row>
    <row r="1532" spans="1:8" x14ac:dyDescent="0.25">
      <c r="A1532" s="76">
        <v>46532</v>
      </c>
      <c r="B1532" s="78">
        <v>2828</v>
      </c>
      <c r="C1532" s="78" t="s">
        <v>26</v>
      </c>
      <c r="D1532" t="s">
        <v>309</v>
      </c>
      <c r="E1532" s="77">
        <v>441300</v>
      </c>
      <c r="H1532">
        <v>18</v>
      </c>
    </row>
    <row r="1533" spans="1:8" x14ac:dyDescent="0.25">
      <c r="A1533" s="76">
        <v>46532</v>
      </c>
      <c r="B1533" s="78">
        <v>122</v>
      </c>
      <c r="C1533" s="78" t="s">
        <v>26</v>
      </c>
      <c r="D1533" t="s">
        <v>547</v>
      </c>
      <c r="E1533" s="77">
        <v>511200</v>
      </c>
      <c r="H1533">
        <v>12</v>
      </c>
    </row>
    <row r="1534" spans="1:8" x14ac:dyDescent="0.25">
      <c r="A1534" s="76">
        <v>46532</v>
      </c>
      <c r="B1534" s="78">
        <v>123</v>
      </c>
      <c r="C1534" s="78" t="s">
        <v>26</v>
      </c>
      <c r="D1534" t="s">
        <v>548</v>
      </c>
      <c r="E1534" s="77">
        <v>407700</v>
      </c>
      <c r="H1534">
        <v>12</v>
      </c>
    </row>
    <row r="1535" spans="1:8" x14ac:dyDescent="0.25">
      <c r="A1535" s="76">
        <v>46533</v>
      </c>
      <c r="B1535" s="78">
        <v>2919</v>
      </c>
      <c r="C1535" s="78" t="s">
        <v>26</v>
      </c>
      <c r="D1535" t="s">
        <v>369</v>
      </c>
      <c r="E1535" s="77">
        <v>440800</v>
      </c>
      <c r="H1535">
        <v>17</v>
      </c>
    </row>
    <row r="1536" spans="1:8" x14ac:dyDescent="0.25">
      <c r="A1536" s="76">
        <v>46533</v>
      </c>
      <c r="B1536" s="78">
        <v>128</v>
      </c>
      <c r="C1536" s="78" t="s">
        <v>26</v>
      </c>
      <c r="D1536" t="s">
        <v>550</v>
      </c>
      <c r="E1536" s="77">
        <v>792800</v>
      </c>
      <c r="H1536">
        <v>12</v>
      </c>
    </row>
    <row r="1537" spans="1:8" x14ac:dyDescent="0.25">
      <c r="A1537" s="76">
        <v>46534</v>
      </c>
      <c r="B1537" s="78">
        <v>3082</v>
      </c>
      <c r="C1537" s="78" t="s">
        <v>26</v>
      </c>
      <c r="D1537" t="s">
        <v>439</v>
      </c>
      <c r="E1537" s="77">
        <v>672000</v>
      </c>
      <c r="H1537">
        <v>15</v>
      </c>
    </row>
    <row r="1538" spans="1:8" x14ac:dyDescent="0.25">
      <c r="A1538" s="76">
        <v>46537</v>
      </c>
      <c r="B1538" s="78">
        <v>3168</v>
      </c>
      <c r="C1538" s="78" t="s">
        <v>26</v>
      </c>
      <c r="D1538" t="s">
        <v>449</v>
      </c>
      <c r="E1538" s="77">
        <v>659900</v>
      </c>
      <c r="H1538">
        <v>14</v>
      </c>
    </row>
    <row r="1539" spans="1:8" x14ac:dyDescent="0.25">
      <c r="A1539" s="76">
        <v>46537</v>
      </c>
      <c r="B1539" s="78">
        <v>217</v>
      </c>
      <c r="C1539" s="78" t="s">
        <v>26</v>
      </c>
      <c r="D1539" t="s">
        <v>581</v>
      </c>
      <c r="E1539" s="77">
        <v>614700</v>
      </c>
      <c r="H1539">
        <v>11</v>
      </c>
    </row>
    <row r="1540" spans="1:8" x14ac:dyDescent="0.25">
      <c r="A1540" s="76">
        <v>46538</v>
      </c>
      <c r="B1540" s="78">
        <v>3008</v>
      </c>
      <c r="C1540" s="78" t="s">
        <v>26</v>
      </c>
      <c r="D1540" t="s">
        <v>430</v>
      </c>
      <c r="E1540" s="77">
        <v>813500</v>
      </c>
      <c r="H1540">
        <v>16</v>
      </c>
    </row>
    <row r="1541" spans="1:8" x14ac:dyDescent="0.25">
      <c r="A1541" s="76">
        <v>46540</v>
      </c>
      <c r="B1541" s="78">
        <v>154</v>
      </c>
      <c r="C1541" s="78" t="s">
        <v>26</v>
      </c>
      <c r="D1541" t="s">
        <v>553</v>
      </c>
      <c r="E1541" s="77">
        <v>379100</v>
      </c>
      <c r="H1541">
        <v>12</v>
      </c>
    </row>
    <row r="1542" spans="1:8" x14ac:dyDescent="0.25">
      <c r="A1542" s="76">
        <v>46541</v>
      </c>
      <c r="B1542" s="78">
        <v>2847</v>
      </c>
      <c r="C1542" s="78" t="s">
        <v>26</v>
      </c>
      <c r="D1542" t="s">
        <v>330</v>
      </c>
      <c r="E1542" s="77">
        <v>419300</v>
      </c>
      <c r="H1542">
        <v>18</v>
      </c>
    </row>
    <row r="1543" spans="1:8" x14ac:dyDescent="0.25">
      <c r="A1543" s="76">
        <v>46542</v>
      </c>
      <c r="B1543" s="78">
        <v>2850</v>
      </c>
      <c r="C1543" s="78" t="s">
        <v>26</v>
      </c>
      <c r="D1543" t="s">
        <v>332</v>
      </c>
      <c r="E1543" s="77">
        <v>615100</v>
      </c>
      <c r="H1543">
        <v>18</v>
      </c>
    </row>
    <row r="1544" spans="1:8" x14ac:dyDescent="0.25">
      <c r="A1544" s="76">
        <v>46543</v>
      </c>
      <c r="B1544" s="78">
        <v>72</v>
      </c>
      <c r="C1544" s="78" t="s">
        <v>26</v>
      </c>
      <c r="D1544" t="s">
        <v>529</v>
      </c>
      <c r="E1544" s="77">
        <v>450400</v>
      </c>
      <c r="H1544">
        <v>13</v>
      </c>
    </row>
    <row r="1545" spans="1:8" x14ac:dyDescent="0.25">
      <c r="A1545" s="76">
        <v>46544</v>
      </c>
      <c r="B1545" s="78">
        <v>2948</v>
      </c>
      <c r="C1545" s="78" t="s">
        <v>26</v>
      </c>
      <c r="D1545" t="s">
        <v>379</v>
      </c>
      <c r="E1545" s="77">
        <v>298000</v>
      </c>
      <c r="H1545">
        <v>17</v>
      </c>
    </row>
    <row r="1546" spans="1:8" x14ac:dyDescent="0.25">
      <c r="A1546" s="76">
        <v>46544</v>
      </c>
      <c r="B1546" s="78">
        <v>232</v>
      </c>
      <c r="C1546" s="78" t="s">
        <v>26</v>
      </c>
      <c r="D1546" t="s">
        <v>591</v>
      </c>
      <c r="E1546" s="77">
        <v>892100</v>
      </c>
      <c r="H1546">
        <v>11</v>
      </c>
    </row>
    <row r="1547" spans="1:8" x14ac:dyDescent="0.25">
      <c r="A1547" s="76">
        <v>46546</v>
      </c>
      <c r="B1547" s="78">
        <v>80</v>
      </c>
      <c r="C1547" s="78" t="s">
        <v>26</v>
      </c>
      <c r="D1547" t="s">
        <v>532</v>
      </c>
      <c r="E1547" s="77">
        <v>134100</v>
      </c>
      <c r="H1547">
        <v>13</v>
      </c>
    </row>
    <row r="1548" spans="1:8" x14ac:dyDescent="0.25">
      <c r="A1548" s="76">
        <v>46547</v>
      </c>
      <c r="B1548" s="78">
        <v>2861</v>
      </c>
      <c r="C1548" s="78" t="s">
        <v>26</v>
      </c>
      <c r="D1548" t="s">
        <v>340</v>
      </c>
      <c r="E1548" s="77">
        <v>308200</v>
      </c>
      <c r="H1548">
        <v>18</v>
      </c>
    </row>
    <row r="1549" spans="1:8" x14ac:dyDescent="0.25">
      <c r="A1549" s="76">
        <v>46555</v>
      </c>
      <c r="B1549" s="78">
        <v>2968</v>
      </c>
      <c r="C1549" s="78" t="s">
        <v>26</v>
      </c>
      <c r="D1549" t="s">
        <v>398</v>
      </c>
      <c r="E1549" s="77">
        <v>452200</v>
      </c>
      <c r="H1549">
        <v>17</v>
      </c>
    </row>
    <row r="1550" spans="1:8" x14ac:dyDescent="0.25">
      <c r="A1550" s="76">
        <v>46556</v>
      </c>
      <c r="B1550" s="78">
        <v>3060</v>
      </c>
      <c r="C1550" s="78" t="s">
        <v>26</v>
      </c>
      <c r="D1550" t="s">
        <v>432</v>
      </c>
      <c r="E1550" s="77">
        <v>623600</v>
      </c>
      <c r="H1550">
        <v>16</v>
      </c>
    </row>
    <row r="1551" spans="1:8" x14ac:dyDescent="0.25">
      <c r="A1551" s="76">
        <v>46556</v>
      </c>
      <c r="B1551" s="78">
        <v>31</v>
      </c>
      <c r="C1551" s="78" t="s">
        <v>26</v>
      </c>
      <c r="D1551" t="s">
        <v>501</v>
      </c>
      <c r="E1551" s="77">
        <v>581500</v>
      </c>
      <c r="H1551">
        <v>14</v>
      </c>
    </row>
    <row r="1552" spans="1:8" x14ac:dyDescent="0.25">
      <c r="A1552" s="76">
        <v>46557</v>
      </c>
      <c r="B1552" s="78">
        <v>3062</v>
      </c>
      <c r="C1552" s="78" t="s">
        <v>26</v>
      </c>
      <c r="D1552" t="s">
        <v>435</v>
      </c>
      <c r="E1552" s="77">
        <v>452200</v>
      </c>
      <c r="H1552">
        <v>16</v>
      </c>
    </row>
    <row r="1553" spans="1:8" x14ac:dyDescent="0.25">
      <c r="A1553" s="76">
        <v>46558</v>
      </c>
      <c r="B1553" s="78">
        <v>3068</v>
      </c>
      <c r="C1553" s="78" t="s">
        <v>26</v>
      </c>
      <c r="D1553" t="s">
        <v>437</v>
      </c>
      <c r="E1553" s="77">
        <v>450400</v>
      </c>
      <c r="H1553">
        <v>16</v>
      </c>
    </row>
    <row r="1554" spans="1:8" x14ac:dyDescent="0.25">
      <c r="A1554" s="76">
        <v>46559</v>
      </c>
      <c r="B1554" s="78">
        <v>1112</v>
      </c>
      <c r="C1554" s="78" t="s">
        <v>240</v>
      </c>
      <c r="D1554" t="s">
        <v>467</v>
      </c>
      <c r="E1554" s="77">
        <v>649000</v>
      </c>
      <c r="H1554">
        <v>17</v>
      </c>
    </row>
    <row r="1555" spans="1:8" x14ac:dyDescent="0.25">
      <c r="A1555" s="76">
        <v>46561</v>
      </c>
      <c r="B1555" s="78">
        <v>45</v>
      </c>
      <c r="C1555" s="78" t="s">
        <v>26</v>
      </c>
      <c r="D1555" t="s">
        <v>519</v>
      </c>
      <c r="E1555" s="77">
        <v>658800</v>
      </c>
      <c r="H1555">
        <v>14</v>
      </c>
    </row>
    <row r="1556" spans="1:8" x14ac:dyDescent="0.25">
      <c r="A1556" s="76">
        <v>46563</v>
      </c>
      <c r="B1556" s="78">
        <v>2511</v>
      </c>
      <c r="C1556" s="78" t="s">
        <v>26</v>
      </c>
      <c r="D1556" t="s">
        <v>171</v>
      </c>
      <c r="E1556" s="77">
        <v>712300</v>
      </c>
      <c r="H1556">
        <v>24</v>
      </c>
    </row>
    <row r="1557" spans="1:8" x14ac:dyDescent="0.25">
      <c r="A1557" s="76">
        <v>46564</v>
      </c>
      <c r="B1557" s="78">
        <v>2919</v>
      </c>
      <c r="C1557" s="78" t="s">
        <v>26</v>
      </c>
      <c r="D1557" t="s">
        <v>369</v>
      </c>
      <c r="E1557" s="77">
        <v>440800</v>
      </c>
      <c r="H1557">
        <v>18</v>
      </c>
    </row>
    <row r="1558" spans="1:8" x14ac:dyDescent="0.25">
      <c r="A1558" s="76">
        <v>46565</v>
      </c>
      <c r="B1558" s="78">
        <v>3082</v>
      </c>
      <c r="C1558" s="78" t="s">
        <v>26</v>
      </c>
      <c r="D1558" t="s">
        <v>439</v>
      </c>
      <c r="E1558" s="77">
        <v>672000</v>
      </c>
      <c r="H1558">
        <v>16</v>
      </c>
    </row>
    <row r="1559" spans="1:8" x14ac:dyDescent="0.25">
      <c r="A1559" s="76">
        <v>46568</v>
      </c>
      <c r="B1559" s="78">
        <v>3008</v>
      </c>
      <c r="C1559" s="78" t="s">
        <v>26</v>
      </c>
      <c r="D1559" t="s">
        <v>430</v>
      </c>
      <c r="E1559" s="77">
        <v>813500</v>
      </c>
      <c r="H1559">
        <v>17</v>
      </c>
    </row>
    <row r="1560" spans="1:8" x14ac:dyDescent="0.25">
      <c r="A1560" s="76">
        <v>46568</v>
      </c>
      <c r="B1560" s="78">
        <v>3168</v>
      </c>
      <c r="C1560" s="78" t="s">
        <v>26</v>
      </c>
      <c r="D1560" t="s">
        <v>449</v>
      </c>
      <c r="E1560" s="77">
        <v>659900</v>
      </c>
      <c r="H1560">
        <v>15</v>
      </c>
    </row>
    <row r="1561" spans="1:8" x14ac:dyDescent="0.25">
      <c r="A1561" s="76">
        <v>46568</v>
      </c>
      <c r="B1561" s="78">
        <v>217</v>
      </c>
      <c r="C1561" s="78" t="s">
        <v>26</v>
      </c>
      <c r="D1561" t="s">
        <v>581</v>
      </c>
      <c r="E1561" s="77">
        <v>614700</v>
      </c>
      <c r="H1561">
        <v>12</v>
      </c>
    </row>
    <row r="1562" spans="1:8" x14ac:dyDescent="0.25">
      <c r="A1562" s="76">
        <v>46570</v>
      </c>
      <c r="B1562" s="78">
        <v>154</v>
      </c>
      <c r="C1562" s="78" t="s">
        <v>26</v>
      </c>
      <c r="D1562" t="s">
        <v>553</v>
      </c>
      <c r="E1562" s="77">
        <v>379100</v>
      </c>
      <c r="H1562">
        <v>13</v>
      </c>
    </row>
    <row r="1563" spans="1:8" x14ac:dyDescent="0.25">
      <c r="A1563" s="76">
        <v>46573</v>
      </c>
      <c r="B1563" s="78">
        <v>72</v>
      </c>
      <c r="C1563" s="78" t="s">
        <v>26</v>
      </c>
      <c r="D1563" t="s">
        <v>529</v>
      </c>
      <c r="E1563" s="77">
        <v>450400</v>
      </c>
      <c r="H1563">
        <v>14</v>
      </c>
    </row>
    <row r="1564" spans="1:8" x14ac:dyDescent="0.25">
      <c r="A1564" s="76">
        <v>46574</v>
      </c>
      <c r="B1564" s="78">
        <v>2948</v>
      </c>
      <c r="C1564" s="78" t="s">
        <v>26</v>
      </c>
      <c r="D1564" t="s">
        <v>379</v>
      </c>
      <c r="E1564" s="77">
        <v>298000</v>
      </c>
      <c r="H1564">
        <v>18</v>
      </c>
    </row>
    <row r="1565" spans="1:8" x14ac:dyDescent="0.25">
      <c r="A1565" s="76">
        <v>46574</v>
      </c>
      <c r="B1565" s="78">
        <v>232</v>
      </c>
      <c r="C1565" s="78" t="s">
        <v>26</v>
      </c>
      <c r="D1565" t="s">
        <v>591</v>
      </c>
      <c r="E1565" s="77">
        <v>892100</v>
      </c>
      <c r="H1565">
        <v>12</v>
      </c>
    </row>
    <row r="1566" spans="1:8" x14ac:dyDescent="0.25">
      <c r="A1566" s="76">
        <v>46576</v>
      </c>
      <c r="B1566" s="78">
        <v>80</v>
      </c>
      <c r="C1566" s="78" t="s">
        <v>26</v>
      </c>
      <c r="D1566" t="s">
        <v>532</v>
      </c>
      <c r="E1566" s="77">
        <v>134100</v>
      </c>
      <c r="H1566">
        <v>14</v>
      </c>
    </row>
    <row r="1567" spans="1:8" x14ac:dyDescent="0.25">
      <c r="A1567" s="76">
        <v>46585</v>
      </c>
      <c r="B1567" s="78">
        <v>2968</v>
      </c>
      <c r="C1567" s="78" t="s">
        <v>26</v>
      </c>
      <c r="D1567" t="s">
        <v>398</v>
      </c>
      <c r="E1567" s="77">
        <v>452200</v>
      </c>
      <c r="H1567">
        <v>18</v>
      </c>
    </row>
    <row r="1568" spans="1:8" x14ac:dyDescent="0.25">
      <c r="A1568" s="76">
        <v>46586</v>
      </c>
      <c r="B1568" s="78">
        <v>3060</v>
      </c>
      <c r="C1568" s="78" t="s">
        <v>26</v>
      </c>
      <c r="D1568" t="s">
        <v>432</v>
      </c>
      <c r="E1568" s="77">
        <v>623600</v>
      </c>
      <c r="H1568">
        <v>17</v>
      </c>
    </row>
    <row r="1569" spans="1:8" x14ac:dyDescent="0.25">
      <c r="A1569" s="76">
        <v>46586</v>
      </c>
      <c r="B1569" s="78">
        <v>31</v>
      </c>
      <c r="C1569" s="78" t="s">
        <v>26</v>
      </c>
      <c r="D1569" t="s">
        <v>501</v>
      </c>
      <c r="E1569" s="77">
        <v>581500</v>
      </c>
      <c r="H1569">
        <v>15</v>
      </c>
    </row>
    <row r="1570" spans="1:8" x14ac:dyDescent="0.25">
      <c r="A1570" s="76">
        <v>46587</v>
      </c>
      <c r="B1570" s="78">
        <v>3062</v>
      </c>
      <c r="C1570" s="78" t="s">
        <v>26</v>
      </c>
      <c r="D1570" t="s">
        <v>435</v>
      </c>
      <c r="E1570" s="77">
        <v>452200</v>
      </c>
      <c r="H1570">
        <v>17</v>
      </c>
    </row>
    <row r="1571" spans="1:8" x14ac:dyDescent="0.25">
      <c r="A1571" s="76">
        <v>46588</v>
      </c>
      <c r="B1571" s="78">
        <v>3068</v>
      </c>
      <c r="C1571" s="78" t="s">
        <v>26</v>
      </c>
      <c r="D1571" t="s">
        <v>437</v>
      </c>
      <c r="E1571" s="77">
        <v>450400</v>
      </c>
      <c r="H1571">
        <v>17</v>
      </c>
    </row>
    <row r="1572" spans="1:8" x14ac:dyDescent="0.25">
      <c r="A1572" s="76">
        <v>46589</v>
      </c>
      <c r="B1572" s="78">
        <v>1112</v>
      </c>
      <c r="C1572" s="78" t="s">
        <v>240</v>
      </c>
      <c r="D1572" t="s">
        <v>467</v>
      </c>
      <c r="E1572" s="77">
        <v>649000</v>
      </c>
      <c r="H1572">
        <v>18</v>
      </c>
    </row>
    <row r="1573" spans="1:8" x14ac:dyDescent="0.25">
      <c r="A1573" s="76">
        <v>46591</v>
      </c>
      <c r="B1573" s="78">
        <v>45</v>
      </c>
      <c r="C1573" s="78" t="s">
        <v>26</v>
      </c>
      <c r="D1573" t="s">
        <v>519</v>
      </c>
      <c r="E1573" s="77">
        <v>658800</v>
      </c>
      <c r="H1573">
        <v>15</v>
      </c>
    </row>
    <row r="1574" spans="1:8" x14ac:dyDescent="0.25">
      <c r="A1574" s="76">
        <v>46595</v>
      </c>
      <c r="B1574" s="78">
        <v>3082</v>
      </c>
      <c r="C1574" s="78" t="s">
        <v>26</v>
      </c>
      <c r="D1574" t="s">
        <v>439</v>
      </c>
      <c r="E1574" s="77">
        <v>672000</v>
      </c>
      <c r="H1574">
        <v>17</v>
      </c>
    </row>
    <row r="1575" spans="1:8" x14ac:dyDescent="0.25">
      <c r="A1575" s="76">
        <v>46598</v>
      </c>
      <c r="B1575" s="78">
        <v>3168</v>
      </c>
      <c r="C1575" s="78" t="s">
        <v>26</v>
      </c>
      <c r="D1575" t="s">
        <v>449</v>
      </c>
      <c r="E1575" s="77">
        <v>659900</v>
      </c>
      <c r="H1575">
        <v>16</v>
      </c>
    </row>
    <row r="1576" spans="1:8" x14ac:dyDescent="0.25">
      <c r="A1576" s="76">
        <v>46599</v>
      </c>
      <c r="B1576" s="78">
        <v>3008</v>
      </c>
      <c r="C1576" s="78" t="s">
        <v>26</v>
      </c>
      <c r="D1576" t="s">
        <v>430</v>
      </c>
      <c r="E1576" s="77">
        <v>813500</v>
      </c>
      <c r="H1576">
        <v>18</v>
      </c>
    </row>
    <row r="1577" spans="1:8" x14ac:dyDescent="0.25">
      <c r="A1577" s="76">
        <v>46601</v>
      </c>
      <c r="B1577" s="78">
        <v>154</v>
      </c>
      <c r="C1577" s="78" t="s">
        <v>26</v>
      </c>
      <c r="D1577" t="s">
        <v>553</v>
      </c>
      <c r="E1577" s="77">
        <v>379100</v>
      </c>
      <c r="H1577">
        <v>14</v>
      </c>
    </row>
    <row r="1578" spans="1:8" x14ac:dyDescent="0.25">
      <c r="A1578" s="76">
        <v>46604</v>
      </c>
      <c r="B1578" s="78">
        <v>72</v>
      </c>
      <c r="C1578" s="78" t="s">
        <v>26</v>
      </c>
      <c r="D1578" t="s">
        <v>529</v>
      </c>
      <c r="E1578" s="77">
        <v>450400</v>
      </c>
      <c r="H1578">
        <v>15</v>
      </c>
    </row>
    <row r="1579" spans="1:8" x14ac:dyDescent="0.25">
      <c r="A1579" s="76">
        <v>46607</v>
      </c>
      <c r="B1579" s="78">
        <v>80</v>
      </c>
      <c r="C1579" s="78" t="s">
        <v>26</v>
      </c>
      <c r="D1579" t="s">
        <v>532</v>
      </c>
      <c r="E1579" s="77">
        <v>134100</v>
      </c>
      <c r="H1579">
        <v>15</v>
      </c>
    </row>
    <row r="1580" spans="1:8" x14ac:dyDescent="0.25">
      <c r="A1580" s="76">
        <v>46617</v>
      </c>
      <c r="B1580" s="78">
        <v>3060</v>
      </c>
      <c r="C1580" s="78" t="s">
        <v>26</v>
      </c>
      <c r="D1580" t="s">
        <v>432</v>
      </c>
      <c r="E1580" s="77">
        <v>623600</v>
      </c>
      <c r="H1580">
        <v>18</v>
      </c>
    </row>
    <row r="1581" spans="1:8" x14ac:dyDescent="0.25">
      <c r="A1581" s="76">
        <v>46617</v>
      </c>
      <c r="B1581" s="78">
        <v>31</v>
      </c>
      <c r="C1581" s="78" t="s">
        <v>26</v>
      </c>
      <c r="D1581" t="s">
        <v>501</v>
      </c>
      <c r="E1581" s="77">
        <v>581500</v>
      </c>
      <c r="H1581">
        <v>16</v>
      </c>
    </row>
    <row r="1582" spans="1:8" x14ac:dyDescent="0.25">
      <c r="A1582" s="76">
        <v>46618</v>
      </c>
      <c r="B1582" s="78">
        <v>3062</v>
      </c>
      <c r="C1582" s="78" t="s">
        <v>26</v>
      </c>
      <c r="D1582" t="s">
        <v>435</v>
      </c>
      <c r="E1582" s="77">
        <v>452200</v>
      </c>
      <c r="H1582">
        <v>18</v>
      </c>
    </row>
    <row r="1583" spans="1:8" x14ac:dyDescent="0.25">
      <c r="A1583" s="76">
        <v>46619</v>
      </c>
      <c r="B1583" s="78">
        <v>3068</v>
      </c>
      <c r="C1583" s="78" t="s">
        <v>26</v>
      </c>
      <c r="D1583" t="s">
        <v>437</v>
      </c>
      <c r="E1583" s="77">
        <v>450400</v>
      </c>
      <c r="H1583">
        <v>18</v>
      </c>
    </row>
    <row r="1584" spans="1:8" x14ac:dyDescent="0.25">
      <c r="A1584" s="76">
        <v>46622</v>
      </c>
      <c r="B1584" s="78">
        <v>45</v>
      </c>
      <c r="C1584" s="78" t="s">
        <v>26</v>
      </c>
      <c r="D1584" t="s">
        <v>519</v>
      </c>
      <c r="E1584" s="77">
        <v>658800</v>
      </c>
      <c r="H1584">
        <v>16</v>
      </c>
    </row>
    <row r="1585" spans="1:8" x14ac:dyDescent="0.25">
      <c r="A1585" s="76">
        <v>46626</v>
      </c>
      <c r="B1585" s="78">
        <v>3082</v>
      </c>
      <c r="C1585" s="78" t="s">
        <v>26</v>
      </c>
      <c r="D1585" t="s">
        <v>439</v>
      </c>
      <c r="E1585" s="77">
        <v>672000</v>
      </c>
      <c r="H1585">
        <v>18</v>
      </c>
    </row>
    <row r="1586" spans="1:8" x14ac:dyDescent="0.25">
      <c r="A1586" s="76">
        <v>46629</v>
      </c>
      <c r="B1586" s="78">
        <v>3168</v>
      </c>
      <c r="C1586" s="78" t="s">
        <v>26</v>
      </c>
      <c r="D1586" t="s">
        <v>449</v>
      </c>
      <c r="E1586" s="77">
        <v>659900</v>
      </c>
      <c r="H1586">
        <v>17</v>
      </c>
    </row>
    <row r="1587" spans="1:8" x14ac:dyDescent="0.25">
      <c r="A1587" s="76">
        <v>46632</v>
      </c>
      <c r="B1587" s="78">
        <v>154</v>
      </c>
      <c r="C1587" s="78" t="s">
        <v>26</v>
      </c>
      <c r="D1587" t="s">
        <v>553</v>
      </c>
      <c r="E1587" s="77">
        <v>379100</v>
      </c>
      <c r="H1587">
        <v>15</v>
      </c>
    </row>
    <row r="1588" spans="1:8" x14ac:dyDescent="0.25">
      <c r="A1588" s="76">
        <v>46635</v>
      </c>
      <c r="B1588" s="78">
        <v>72</v>
      </c>
      <c r="C1588" s="78" t="s">
        <v>26</v>
      </c>
      <c r="D1588" t="s">
        <v>529</v>
      </c>
      <c r="E1588" s="77">
        <v>450400</v>
      </c>
      <c r="H1588">
        <v>16</v>
      </c>
    </row>
    <row r="1589" spans="1:8" x14ac:dyDescent="0.25">
      <c r="A1589" s="76">
        <v>46638</v>
      </c>
      <c r="B1589" s="78">
        <v>80</v>
      </c>
      <c r="C1589" s="78" t="s">
        <v>26</v>
      </c>
      <c r="D1589" t="s">
        <v>532</v>
      </c>
      <c r="E1589" s="77">
        <v>134100</v>
      </c>
      <c r="H1589">
        <v>16</v>
      </c>
    </row>
    <row r="1590" spans="1:8" x14ac:dyDescent="0.25">
      <c r="A1590" s="76">
        <v>46648</v>
      </c>
      <c r="B1590" s="78">
        <v>31</v>
      </c>
      <c r="C1590" s="78" t="s">
        <v>26</v>
      </c>
      <c r="D1590" t="s">
        <v>501</v>
      </c>
      <c r="E1590" s="77">
        <v>581500</v>
      </c>
      <c r="H1590">
        <v>17</v>
      </c>
    </row>
    <row r="1591" spans="1:8" x14ac:dyDescent="0.25">
      <c r="A1591" s="76">
        <v>46653</v>
      </c>
      <c r="B1591" s="78">
        <v>45</v>
      </c>
      <c r="C1591" s="78" t="s">
        <v>26</v>
      </c>
      <c r="D1591" t="s">
        <v>519</v>
      </c>
      <c r="E1591" s="77">
        <v>658800</v>
      </c>
      <c r="H1591">
        <v>17</v>
      </c>
    </row>
    <row r="1592" spans="1:8" x14ac:dyDescent="0.25">
      <c r="A1592" s="76">
        <v>46660</v>
      </c>
      <c r="B1592" s="78">
        <v>3168</v>
      </c>
      <c r="C1592" s="78" t="s">
        <v>26</v>
      </c>
      <c r="D1592" t="s">
        <v>449</v>
      </c>
      <c r="E1592" s="77">
        <v>659900</v>
      </c>
      <c r="H1592">
        <v>18</v>
      </c>
    </row>
    <row r="1593" spans="1:8" x14ac:dyDescent="0.25">
      <c r="A1593" s="76">
        <v>46662</v>
      </c>
      <c r="B1593" s="78">
        <v>154</v>
      </c>
      <c r="C1593" s="78" t="s">
        <v>26</v>
      </c>
      <c r="D1593" t="s">
        <v>553</v>
      </c>
      <c r="E1593" s="77">
        <v>379100</v>
      </c>
      <c r="H1593">
        <v>16</v>
      </c>
    </row>
    <row r="1594" spans="1:8" x14ac:dyDescent="0.25">
      <c r="A1594" s="76">
        <v>46665</v>
      </c>
      <c r="B1594" s="78">
        <v>72</v>
      </c>
      <c r="C1594" s="78" t="s">
        <v>26</v>
      </c>
      <c r="D1594" t="s">
        <v>529</v>
      </c>
      <c r="E1594" s="77">
        <v>450400</v>
      </c>
      <c r="H1594">
        <v>17</v>
      </c>
    </row>
    <row r="1595" spans="1:8" x14ac:dyDescent="0.25">
      <c r="A1595" s="76">
        <v>46668</v>
      </c>
      <c r="B1595" s="78">
        <v>80</v>
      </c>
      <c r="C1595" s="78" t="s">
        <v>26</v>
      </c>
      <c r="D1595" t="s">
        <v>532</v>
      </c>
      <c r="E1595" s="77">
        <v>134100</v>
      </c>
      <c r="H1595">
        <v>17</v>
      </c>
    </row>
    <row r="1596" spans="1:8" x14ac:dyDescent="0.25">
      <c r="A1596" s="76">
        <v>46678</v>
      </c>
      <c r="B1596" s="78">
        <v>31</v>
      </c>
      <c r="C1596" s="78" t="s">
        <v>26</v>
      </c>
      <c r="D1596" t="s">
        <v>501</v>
      </c>
      <c r="E1596" s="77">
        <v>581500</v>
      </c>
      <c r="H1596">
        <v>18</v>
      </c>
    </row>
    <row r="1597" spans="1:8" x14ac:dyDescent="0.25">
      <c r="A1597" s="76">
        <v>46683</v>
      </c>
      <c r="B1597" s="78">
        <v>45</v>
      </c>
      <c r="C1597" s="78" t="s">
        <v>26</v>
      </c>
      <c r="D1597" t="s">
        <v>519</v>
      </c>
      <c r="E1597" s="77">
        <v>658800</v>
      </c>
      <c r="H1597">
        <v>18</v>
      </c>
    </row>
    <row r="1598" spans="1:8" x14ac:dyDescent="0.25">
      <c r="A1598" s="76">
        <v>46693</v>
      </c>
      <c r="B1598" s="78">
        <v>154</v>
      </c>
      <c r="C1598" s="78" t="s">
        <v>26</v>
      </c>
      <c r="D1598" t="s">
        <v>553</v>
      </c>
      <c r="E1598" s="77">
        <v>379100</v>
      </c>
      <c r="H1598">
        <v>17</v>
      </c>
    </row>
    <row r="1599" spans="1:8" x14ac:dyDescent="0.25">
      <c r="A1599" s="76">
        <v>46696</v>
      </c>
      <c r="B1599" s="78">
        <v>72</v>
      </c>
      <c r="C1599" s="78" t="s">
        <v>26</v>
      </c>
      <c r="D1599" t="s">
        <v>529</v>
      </c>
      <c r="E1599" s="77">
        <v>450400</v>
      </c>
      <c r="H1599">
        <v>18</v>
      </c>
    </row>
    <row r="1600" spans="1:8" x14ac:dyDescent="0.25">
      <c r="A1600" s="76">
        <v>46699</v>
      </c>
      <c r="B1600" s="78">
        <v>80</v>
      </c>
      <c r="C1600" s="78" t="s">
        <v>26</v>
      </c>
      <c r="D1600" t="s">
        <v>532</v>
      </c>
      <c r="E1600" s="77">
        <v>134100</v>
      </c>
      <c r="H1600">
        <v>18</v>
      </c>
    </row>
    <row r="1601" spans="1:8" x14ac:dyDescent="0.25">
      <c r="A1601" s="76">
        <v>46723</v>
      </c>
      <c r="B1601" s="78">
        <v>154</v>
      </c>
      <c r="C1601" s="78" t="s">
        <v>26</v>
      </c>
      <c r="D1601" t="s">
        <v>553</v>
      </c>
      <c r="E1601" s="77">
        <v>379100</v>
      </c>
      <c r="H1601">
        <v>18</v>
      </c>
    </row>
  </sheetData>
  <pageMargins left="0.7" right="0.7" top="0.75" bottom="0.75" header="0.3" footer="0.3"/>
  <pageSetup orientation="portrait" verticalDpi="0"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C2" sqref="C2"/>
    </sheetView>
  </sheetViews>
  <sheetFormatPr baseColWidth="10" defaultRowHeight="15" x14ac:dyDescent="0.25"/>
  <cols>
    <col min="3" max="4" width="11.42578125" style="77"/>
  </cols>
  <sheetData>
    <row r="1" spans="1:6" x14ac:dyDescent="0.25">
      <c r="A1">
        <v>1</v>
      </c>
      <c r="B1" s="272">
        <v>46111</v>
      </c>
      <c r="C1" s="77">
        <v>1000000</v>
      </c>
      <c r="D1" s="77">
        <v>1000000</v>
      </c>
      <c r="E1" s="76">
        <v>46118</v>
      </c>
      <c r="F1" t="s">
        <v>533</v>
      </c>
    </row>
    <row r="2" spans="1:6" x14ac:dyDescent="0.25">
      <c r="A2">
        <v>2</v>
      </c>
      <c r="B2" s="272">
        <v>46142</v>
      </c>
      <c r="C2" s="77">
        <v>1000000</v>
      </c>
      <c r="D2" s="77">
        <v>1000000</v>
      </c>
      <c r="E2" s="76">
        <v>46151</v>
      </c>
      <c r="F2" t="s">
        <v>533</v>
      </c>
    </row>
    <row r="3" spans="1:6" x14ac:dyDescent="0.25">
      <c r="A3">
        <v>3</v>
      </c>
      <c r="B3" s="272">
        <v>46172</v>
      </c>
      <c r="C3" s="77">
        <v>1000000</v>
      </c>
    </row>
    <row r="4" spans="1:6" x14ac:dyDescent="0.25">
      <c r="A4">
        <v>4</v>
      </c>
      <c r="B4" s="272">
        <v>46203</v>
      </c>
      <c r="C4" s="77">
        <v>1000000</v>
      </c>
    </row>
    <row r="5" spans="1:6" x14ac:dyDescent="0.25">
      <c r="A5">
        <v>5</v>
      </c>
      <c r="B5" s="272">
        <v>46233</v>
      </c>
      <c r="C5" s="77">
        <v>1000000</v>
      </c>
    </row>
    <row r="6" spans="1:6" x14ac:dyDescent="0.25">
      <c r="A6">
        <v>6</v>
      </c>
      <c r="B6" s="272">
        <v>46264</v>
      </c>
      <c r="C6" s="77">
        <v>1000000</v>
      </c>
    </row>
    <row r="7" spans="1:6" x14ac:dyDescent="0.25">
      <c r="A7">
        <v>7</v>
      </c>
      <c r="B7" s="272">
        <v>46295</v>
      </c>
      <c r="C7" s="77">
        <v>1000000</v>
      </c>
    </row>
    <row r="8" spans="1:6" x14ac:dyDescent="0.25">
      <c r="A8">
        <v>8</v>
      </c>
      <c r="B8" s="272">
        <v>46325</v>
      </c>
      <c r="C8" s="77">
        <v>1000000</v>
      </c>
    </row>
    <row r="9" spans="1:6" x14ac:dyDescent="0.25">
      <c r="A9">
        <v>9</v>
      </c>
      <c r="B9" s="272">
        <v>46356</v>
      </c>
      <c r="C9" s="77">
        <v>1000000</v>
      </c>
    </row>
    <row r="10" spans="1:6" x14ac:dyDescent="0.25">
      <c r="A10">
        <v>10</v>
      </c>
      <c r="B10" s="272">
        <v>46386</v>
      </c>
      <c r="C10" s="77">
        <v>1000000</v>
      </c>
    </row>
    <row r="11" spans="1:6" x14ac:dyDescent="0.25">
      <c r="A11">
        <v>11</v>
      </c>
      <c r="B11" s="272">
        <v>46417</v>
      </c>
      <c r="C11" s="77">
        <v>1000000</v>
      </c>
    </row>
    <row r="12" spans="1:6" x14ac:dyDescent="0.25">
      <c r="A12">
        <v>12</v>
      </c>
      <c r="B12" s="272">
        <v>46446</v>
      </c>
      <c r="C12" s="77">
        <v>1000000</v>
      </c>
    </row>
    <row r="13" spans="1:6" x14ac:dyDescent="0.25">
      <c r="A13">
        <v>13</v>
      </c>
      <c r="B13" s="272">
        <v>46476</v>
      </c>
      <c r="C13" s="77">
        <v>1000000</v>
      </c>
    </row>
    <row r="14" spans="1:6" x14ac:dyDescent="0.25">
      <c r="A14">
        <v>14</v>
      </c>
      <c r="B14" s="272">
        <v>46507</v>
      </c>
      <c r="C14" s="77">
        <v>1000000</v>
      </c>
    </row>
    <row r="15" spans="1:6" x14ac:dyDescent="0.25">
      <c r="A15">
        <v>15</v>
      </c>
      <c r="B15" s="272">
        <v>46537</v>
      </c>
      <c r="C15" s="77">
        <v>1000000</v>
      </c>
    </row>
    <row r="16" spans="1:6" x14ac:dyDescent="0.25">
      <c r="A16">
        <v>16</v>
      </c>
      <c r="B16" s="272">
        <v>46568</v>
      </c>
      <c r="C16" s="77">
        <v>1000000</v>
      </c>
    </row>
    <row r="17" spans="1:3" x14ac:dyDescent="0.25">
      <c r="A17">
        <v>17</v>
      </c>
      <c r="B17" s="272">
        <v>46598</v>
      </c>
      <c r="C17" s="77">
        <v>1000000</v>
      </c>
    </row>
    <row r="18" spans="1:3" x14ac:dyDescent="0.25">
      <c r="A18">
        <v>18</v>
      </c>
      <c r="B18" s="272">
        <v>46629</v>
      </c>
      <c r="C18" s="77">
        <v>1000000</v>
      </c>
    </row>
    <row r="19" spans="1:3" x14ac:dyDescent="0.25">
      <c r="A19">
        <v>19</v>
      </c>
      <c r="B19" s="272">
        <v>46111</v>
      </c>
      <c r="C19" s="77">
        <v>1000000</v>
      </c>
    </row>
    <row r="20" spans="1:3" x14ac:dyDescent="0.25">
      <c r="A20">
        <v>20</v>
      </c>
      <c r="B20" s="272">
        <v>46142</v>
      </c>
      <c r="C20" s="77">
        <v>1000000</v>
      </c>
    </row>
    <row r="21" spans="1:3" x14ac:dyDescent="0.25">
      <c r="A21">
        <v>21</v>
      </c>
      <c r="B21" s="272">
        <v>46172</v>
      </c>
      <c r="C21" s="77">
        <v>1000000</v>
      </c>
    </row>
    <row r="22" spans="1:3" x14ac:dyDescent="0.25">
      <c r="A22">
        <v>22</v>
      </c>
      <c r="B22" s="272">
        <v>46203</v>
      </c>
      <c r="C22" s="77">
        <v>1000000</v>
      </c>
    </row>
    <row r="23" spans="1:3" x14ac:dyDescent="0.25">
      <c r="A23">
        <v>23</v>
      </c>
      <c r="B23" s="272">
        <v>46233</v>
      </c>
      <c r="C23" s="77">
        <v>1000000</v>
      </c>
    </row>
    <row r="24" spans="1:3" x14ac:dyDescent="0.25">
      <c r="A24">
        <v>24</v>
      </c>
      <c r="B24" s="272">
        <v>46264</v>
      </c>
      <c r="C24" s="77">
        <v>1000000</v>
      </c>
    </row>
    <row r="25" spans="1:3" x14ac:dyDescent="0.25">
      <c r="A25">
        <v>25</v>
      </c>
      <c r="B25" s="272">
        <v>46295</v>
      </c>
      <c r="C25" s="77">
        <v>1000000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sheetPr>
  <dimension ref="E3:L25"/>
  <sheetViews>
    <sheetView showGridLines="0" topLeftCell="F12" zoomScaleNormal="100" workbookViewId="0">
      <selection activeCell="I18" sqref="I18"/>
    </sheetView>
  </sheetViews>
  <sheetFormatPr baseColWidth="10" defaultColWidth="0" defaultRowHeight="15" zeroHeight="1" x14ac:dyDescent="0.25"/>
  <cols>
    <col min="1" max="4" width="8.7109375" style="2" hidden="1" customWidth="1"/>
    <col min="5" max="5" width="3" style="2" hidden="1" customWidth="1"/>
    <col min="6" max="6" width="4.28515625" style="2" customWidth="1"/>
    <col min="7" max="7" width="8.7109375" style="2" customWidth="1"/>
    <col min="8" max="8" width="27.7109375" style="2" bestFit="1" customWidth="1"/>
    <col min="9" max="9" width="27.5703125" style="3" customWidth="1"/>
    <col min="10" max="10" width="7.7109375" style="2" customWidth="1"/>
    <col min="11" max="11" width="5.42578125" style="2" customWidth="1"/>
    <col min="12" max="12" width="16.140625" style="2" hidden="1" customWidth="1"/>
    <col min="13" max="16384" width="8.7109375" style="2" hidden="1"/>
  </cols>
  <sheetData>
    <row r="3" spans="7:10" ht="8.1" hidden="1" customHeight="1" x14ac:dyDescent="0.25"/>
    <row r="6" spans="7:10" ht="15.75" thickBot="1" x14ac:dyDescent="0.3"/>
    <row r="7" spans="7:10" x14ac:dyDescent="0.25">
      <c r="G7" s="4"/>
      <c r="H7" s="5"/>
      <c r="I7" s="6"/>
      <c r="J7" s="7"/>
    </row>
    <row r="8" spans="7:10" ht="21" x14ac:dyDescent="0.35">
      <c r="G8" s="8"/>
      <c r="H8" s="415" t="s">
        <v>2</v>
      </c>
      <c r="I8" s="415"/>
      <c r="J8" s="9"/>
    </row>
    <row r="9" spans="7:10" x14ac:dyDescent="0.25">
      <c r="G9" s="8"/>
      <c r="J9" s="9"/>
    </row>
    <row r="10" spans="7:10" x14ac:dyDescent="0.25">
      <c r="G10" s="8"/>
      <c r="J10" s="9"/>
    </row>
    <row r="11" spans="7:10" ht="18.75" x14ac:dyDescent="0.3">
      <c r="G11" s="8"/>
      <c r="H11" s="10" t="s">
        <v>5</v>
      </c>
      <c r="I11" s="23" t="s">
        <v>19</v>
      </c>
      <c r="J11" s="22" t="s">
        <v>24</v>
      </c>
    </row>
    <row r="12" spans="7:10" ht="18.75" x14ac:dyDescent="0.3">
      <c r="G12" s="8"/>
      <c r="H12" s="10" t="s">
        <v>22</v>
      </c>
      <c r="I12" s="24">
        <v>13814000</v>
      </c>
      <c r="J12" s="22" t="s">
        <v>24</v>
      </c>
    </row>
    <row r="13" spans="7:10" ht="18.75" x14ac:dyDescent="0.3">
      <c r="G13" s="8"/>
      <c r="H13" s="10" t="s">
        <v>23</v>
      </c>
      <c r="I13" s="24">
        <v>10000000</v>
      </c>
      <c r="J13" s="22" t="s">
        <v>24</v>
      </c>
    </row>
    <row r="14" spans="7:10" ht="18.75" x14ac:dyDescent="0.3">
      <c r="G14" s="8"/>
      <c r="H14" s="10" t="s">
        <v>1</v>
      </c>
      <c r="I14" s="25">
        <v>8621000</v>
      </c>
      <c r="J14" s="9"/>
    </row>
    <row r="15" spans="7:10" ht="18.75" x14ac:dyDescent="0.3">
      <c r="G15" s="8"/>
      <c r="H15" s="10" t="s">
        <v>3</v>
      </c>
      <c r="I15" s="27">
        <v>12</v>
      </c>
      <c r="J15" s="22" t="s">
        <v>24</v>
      </c>
    </row>
    <row r="16" spans="7:10" ht="18.75" x14ac:dyDescent="0.3">
      <c r="G16" s="8"/>
      <c r="H16" s="10" t="s">
        <v>4</v>
      </c>
      <c r="I16" s="21">
        <v>3.5000000000000003E-2</v>
      </c>
      <c r="J16" s="9"/>
    </row>
    <row r="17" spans="7:11" ht="18.75" x14ac:dyDescent="0.3">
      <c r="G17" s="8"/>
      <c r="H17" s="12"/>
      <c r="I17" s="11"/>
      <c r="J17" s="9"/>
    </row>
    <row r="18" spans="7:11" ht="18.75" x14ac:dyDescent="0.3">
      <c r="G18" s="8"/>
      <c r="H18" s="10" t="s">
        <v>0</v>
      </c>
      <c r="I18" s="26">
        <f>ROUND(((I14*(I16*(1+I16)^I15))/(((1+I16)^I15)-1)),-2)</f>
        <v>892100</v>
      </c>
      <c r="J18" s="9"/>
    </row>
    <row r="19" spans="7:11" ht="16.5" thickBot="1" x14ac:dyDescent="0.3">
      <c r="G19" s="13"/>
      <c r="H19" s="14"/>
      <c r="I19" s="15"/>
      <c r="J19" s="16"/>
    </row>
    <row r="20" spans="7:11" x14ac:dyDescent="0.25">
      <c r="I20" s="17"/>
      <c r="K20" s="18"/>
    </row>
    <row r="22" spans="7:11" hidden="1" x14ac:dyDescent="0.25">
      <c r="I22" s="19"/>
    </row>
    <row r="24" spans="7:11" hidden="1" x14ac:dyDescent="0.25">
      <c r="I24" s="20"/>
    </row>
    <row r="25" spans="7:11" x14ac:dyDescent="0.25"/>
  </sheetData>
  <mergeCells count="1">
    <mergeCell ref="H8:I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Data!$A$1:$A$16</xm:f>
          </x14:formula1>
          <xm:sqref>I11</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tabSelected="1" topLeftCell="A49" workbookViewId="0">
      <selection activeCell="C68" sqref="C68"/>
    </sheetView>
  </sheetViews>
  <sheetFormatPr baseColWidth="10" defaultRowHeight="15" x14ac:dyDescent="0.25"/>
  <cols>
    <col min="2" max="2" width="22.28515625" customWidth="1"/>
    <col min="3" max="3" width="11.42578125" style="77"/>
  </cols>
  <sheetData>
    <row r="1" spans="1:3" x14ac:dyDescent="0.25">
      <c r="A1" s="76">
        <v>45714</v>
      </c>
      <c r="B1" s="81" t="s">
        <v>64</v>
      </c>
      <c r="C1" s="82">
        <v>7961434</v>
      </c>
    </row>
    <row r="2" spans="1:3" x14ac:dyDescent="0.25">
      <c r="B2" s="81" t="s">
        <v>68</v>
      </c>
      <c r="C2" s="82">
        <f>+C1</f>
        <v>7961434</v>
      </c>
    </row>
    <row r="3" spans="1:3" x14ac:dyDescent="0.25">
      <c r="A3" s="76">
        <v>45761</v>
      </c>
      <c r="B3" s="81" t="s">
        <v>64</v>
      </c>
      <c r="C3" s="82">
        <v>50535800</v>
      </c>
    </row>
    <row r="4" spans="1:3" x14ac:dyDescent="0.25">
      <c r="B4" s="81" t="s">
        <v>68</v>
      </c>
      <c r="C4" s="82">
        <f>+C2+C3</f>
        <v>58497234</v>
      </c>
    </row>
    <row r="5" spans="1:3" x14ac:dyDescent="0.25">
      <c r="A5" s="76">
        <v>45787</v>
      </c>
      <c r="B5" s="107" t="s">
        <v>64</v>
      </c>
      <c r="C5" s="82">
        <v>40674500</v>
      </c>
    </row>
    <row r="6" spans="1:3" x14ac:dyDescent="0.25">
      <c r="B6" s="107" t="s">
        <v>68</v>
      </c>
      <c r="C6" s="82">
        <f>+C4+C5</f>
        <v>99171734</v>
      </c>
    </row>
    <row r="7" spans="1:3" x14ac:dyDescent="0.25">
      <c r="A7" s="76">
        <v>45796</v>
      </c>
      <c r="B7" s="107" t="s">
        <v>125</v>
      </c>
      <c r="C7" s="115">
        <v>5000000</v>
      </c>
    </row>
    <row r="8" spans="1:3" x14ac:dyDescent="0.25">
      <c r="B8" t="s">
        <v>64</v>
      </c>
      <c r="C8" s="77">
        <v>4810223</v>
      </c>
    </row>
    <row r="9" spans="1:3" x14ac:dyDescent="0.25">
      <c r="B9" s="107" t="s">
        <v>68</v>
      </c>
      <c r="C9" s="77">
        <f>+C6-C7+C8</f>
        <v>98981957</v>
      </c>
    </row>
    <row r="10" spans="1:3" x14ac:dyDescent="0.25">
      <c r="A10" s="76">
        <v>45820</v>
      </c>
      <c r="B10" s="107" t="s">
        <v>125</v>
      </c>
      <c r="C10" s="115">
        <v>10000000</v>
      </c>
    </row>
    <row r="11" spans="1:3" x14ac:dyDescent="0.25">
      <c r="B11" s="107" t="s">
        <v>64</v>
      </c>
      <c r="C11" s="77">
        <v>86172281</v>
      </c>
    </row>
    <row r="12" spans="1:3" x14ac:dyDescent="0.25">
      <c r="B12" s="107" t="s">
        <v>68</v>
      </c>
      <c r="C12" s="77">
        <f>+C9+C11-C10</f>
        <v>175154238</v>
      </c>
    </row>
    <row r="13" spans="1:3" x14ac:dyDescent="0.25">
      <c r="A13" s="76">
        <v>45850</v>
      </c>
      <c r="B13" s="107" t="s">
        <v>125</v>
      </c>
      <c r="C13" s="115">
        <v>15000000</v>
      </c>
    </row>
    <row r="14" spans="1:3" x14ac:dyDescent="0.25">
      <c r="B14" s="107" t="s">
        <v>64</v>
      </c>
      <c r="C14" s="77">
        <v>21088451</v>
      </c>
    </row>
    <row r="15" spans="1:3" x14ac:dyDescent="0.25">
      <c r="A15" s="76"/>
      <c r="B15" s="107" t="s">
        <v>68</v>
      </c>
      <c r="C15" s="77">
        <f>+C12-C13+C14</f>
        <v>181242689</v>
      </c>
    </row>
    <row r="16" spans="1:3" x14ac:dyDescent="0.25">
      <c r="A16" s="76">
        <v>45874</v>
      </c>
      <c r="B16" t="s">
        <v>216</v>
      </c>
      <c r="C16" s="77">
        <v>17354750</v>
      </c>
    </row>
    <row r="17" spans="1:3" x14ac:dyDescent="0.25">
      <c r="B17" s="107" t="s">
        <v>125</v>
      </c>
      <c r="C17" s="115">
        <v>7000000</v>
      </c>
    </row>
    <row r="18" spans="1:3" x14ac:dyDescent="0.25">
      <c r="B18" s="107" t="s">
        <v>68</v>
      </c>
      <c r="C18" s="77">
        <f>+C15-C16-C17</f>
        <v>156887939</v>
      </c>
    </row>
    <row r="19" spans="1:3" x14ac:dyDescent="0.25">
      <c r="A19" s="76">
        <v>45906</v>
      </c>
      <c r="B19" s="107" t="s">
        <v>64</v>
      </c>
      <c r="C19" s="77">
        <v>43199682</v>
      </c>
    </row>
    <row r="20" spans="1:3" x14ac:dyDescent="0.25">
      <c r="B20" s="107" t="s">
        <v>68</v>
      </c>
      <c r="C20" s="77">
        <f>+C18+C19</f>
        <v>200087621</v>
      </c>
    </row>
    <row r="21" spans="1:3" x14ac:dyDescent="0.25">
      <c r="A21" s="76">
        <v>45920</v>
      </c>
      <c r="B21" s="107" t="s">
        <v>216</v>
      </c>
      <c r="C21" s="77">
        <v>8182802</v>
      </c>
    </row>
    <row r="22" spans="1:3" x14ac:dyDescent="0.25">
      <c r="B22" s="107" t="s">
        <v>125</v>
      </c>
      <c r="C22" s="115">
        <v>5000000</v>
      </c>
    </row>
    <row r="23" spans="1:3" x14ac:dyDescent="0.25">
      <c r="B23" s="107" t="s">
        <v>68</v>
      </c>
      <c r="C23" s="77">
        <f>+C20+C21-C22</f>
        <v>203270423</v>
      </c>
    </row>
    <row r="24" spans="1:3" x14ac:dyDescent="0.25">
      <c r="A24" s="76">
        <v>45934</v>
      </c>
      <c r="B24" s="107" t="s">
        <v>216</v>
      </c>
      <c r="C24" s="77">
        <v>15251215</v>
      </c>
    </row>
    <row r="25" spans="1:3" x14ac:dyDescent="0.25">
      <c r="B25" s="107" t="s">
        <v>125</v>
      </c>
      <c r="C25" s="165">
        <v>3000000</v>
      </c>
    </row>
    <row r="26" spans="1:3" x14ac:dyDescent="0.25">
      <c r="A26" s="76"/>
      <c r="B26" s="107" t="s">
        <v>68</v>
      </c>
      <c r="C26" s="77">
        <f>+C23-C24-C25</f>
        <v>185019208</v>
      </c>
    </row>
    <row r="27" spans="1:3" x14ac:dyDescent="0.25">
      <c r="A27" s="76">
        <v>45970</v>
      </c>
      <c r="B27" s="107" t="s">
        <v>64</v>
      </c>
      <c r="C27" s="77">
        <v>12918305</v>
      </c>
    </row>
    <row r="28" spans="1:3" x14ac:dyDescent="0.25">
      <c r="B28" s="107" t="s">
        <v>68</v>
      </c>
      <c r="C28" s="193">
        <f>+C26+C27</f>
        <v>197937513</v>
      </c>
    </row>
    <row r="29" spans="1:3" x14ac:dyDescent="0.25">
      <c r="A29" s="76">
        <v>45972</v>
      </c>
      <c r="B29" s="107" t="s">
        <v>216</v>
      </c>
      <c r="C29" s="77">
        <v>26237359</v>
      </c>
    </row>
    <row r="30" spans="1:3" x14ac:dyDescent="0.25">
      <c r="B30" s="107" t="s">
        <v>68</v>
      </c>
      <c r="C30" s="193">
        <f>+C28-C29</f>
        <v>171700154</v>
      </c>
    </row>
    <row r="31" spans="1:3" x14ac:dyDescent="0.25">
      <c r="A31" s="76">
        <v>46007</v>
      </c>
      <c r="B31" s="107" t="s">
        <v>64</v>
      </c>
      <c r="C31" s="77">
        <v>66999797</v>
      </c>
    </row>
    <row r="32" spans="1:3" x14ac:dyDescent="0.25">
      <c r="B32" t="s">
        <v>68</v>
      </c>
      <c r="C32" s="193">
        <f>+C30+C31</f>
        <v>238699951</v>
      </c>
    </row>
    <row r="33" spans="1:3" x14ac:dyDescent="0.25">
      <c r="A33" s="76">
        <v>46029</v>
      </c>
      <c r="B33" t="s">
        <v>64</v>
      </c>
      <c r="C33" s="77">
        <v>20663530</v>
      </c>
    </row>
    <row r="34" spans="1:3" x14ac:dyDescent="0.25">
      <c r="B34" t="s">
        <v>68</v>
      </c>
      <c r="C34" s="193">
        <f>+C32+C33</f>
        <v>259363481</v>
      </c>
    </row>
    <row r="35" spans="1:3" x14ac:dyDescent="0.25">
      <c r="A35" s="76">
        <v>46031</v>
      </c>
      <c r="B35" t="s">
        <v>216</v>
      </c>
      <c r="C35" s="77">
        <v>15460470</v>
      </c>
    </row>
    <row r="36" spans="1:3" x14ac:dyDescent="0.25">
      <c r="B36" t="s">
        <v>68</v>
      </c>
      <c r="C36" s="193">
        <f>+C34-C35</f>
        <v>243903011</v>
      </c>
    </row>
    <row r="37" spans="1:3" x14ac:dyDescent="0.25">
      <c r="A37" s="76">
        <v>46047</v>
      </c>
      <c r="B37" t="s">
        <v>64</v>
      </c>
      <c r="C37" s="77">
        <v>2599981</v>
      </c>
    </row>
    <row r="38" spans="1:3" x14ac:dyDescent="0.25">
      <c r="B38" t="s">
        <v>68</v>
      </c>
      <c r="C38" s="193">
        <f>+C36+C37</f>
        <v>246502992</v>
      </c>
    </row>
    <row r="39" spans="1:3" x14ac:dyDescent="0.25">
      <c r="A39" s="76">
        <v>46048</v>
      </c>
      <c r="B39" t="s">
        <v>216</v>
      </c>
      <c r="C39" s="77">
        <v>21783421</v>
      </c>
    </row>
    <row r="40" spans="1:3" x14ac:dyDescent="0.25">
      <c r="B40" t="s">
        <v>68</v>
      </c>
      <c r="C40" s="193">
        <f>+C38-C39</f>
        <v>224719571</v>
      </c>
    </row>
    <row r="41" spans="1:3" x14ac:dyDescent="0.25">
      <c r="A41" s="76">
        <v>46060</v>
      </c>
      <c r="B41" t="s">
        <v>216</v>
      </c>
      <c r="C41" s="77">
        <v>18283133</v>
      </c>
    </row>
    <row r="42" spans="1:3" x14ac:dyDescent="0.25">
      <c r="B42" t="s">
        <v>68</v>
      </c>
      <c r="C42" s="193">
        <f>+C40-C41</f>
        <v>206436438</v>
      </c>
    </row>
    <row r="43" spans="1:3" x14ac:dyDescent="0.25">
      <c r="A43" s="76">
        <v>46072</v>
      </c>
      <c r="B43" t="s">
        <v>64</v>
      </c>
      <c r="C43" s="77">
        <v>16400476</v>
      </c>
    </row>
    <row r="44" spans="1:3" x14ac:dyDescent="0.25">
      <c r="B44" t="s">
        <v>68</v>
      </c>
      <c r="C44" s="193">
        <f>+C42+C43</f>
        <v>222836914</v>
      </c>
    </row>
    <row r="45" spans="1:3" x14ac:dyDescent="0.25">
      <c r="A45" s="76">
        <v>46159</v>
      </c>
      <c r="B45" t="s">
        <v>64</v>
      </c>
      <c r="C45" s="77">
        <v>77197461</v>
      </c>
    </row>
    <row r="46" spans="1:3" x14ac:dyDescent="0.25">
      <c r="B46" t="s">
        <v>68</v>
      </c>
      <c r="C46" s="193">
        <f>+C44+C45</f>
        <v>300034375</v>
      </c>
    </row>
    <row r="47" spans="1:3" x14ac:dyDescent="0.25">
      <c r="A47" s="76">
        <v>46160</v>
      </c>
      <c r="B47" t="s">
        <v>216</v>
      </c>
      <c r="C47" s="77">
        <v>22711534</v>
      </c>
    </row>
    <row r="48" spans="1:3" x14ac:dyDescent="0.25">
      <c r="B48" t="s">
        <v>68</v>
      </c>
      <c r="C48" s="193">
        <f>+C46-C47</f>
        <v>277322841</v>
      </c>
    </row>
    <row r="49" spans="1:3" x14ac:dyDescent="0.25">
      <c r="A49" s="76">
        <v>46161</v>
      </c>
      <c r="B49" t="s">
        <v>216</v>
      </c>
      <c r="C49" s="77">
        <v>31277685</v>
      </c>
    </row>
    <row r="50" spans="1:3" x14ac:dyDescent="0.25">
      <c r="B50" t="s">
        <v>68</v>
      </c>
      <c r="C50" s="193">
        <f>+C48-C49</f>
        <v>246045156</v>
      </c>
    </row>
    <row r="51" spans="1:3" x14ac:dyDescent="0.25">
      <c r="A51" s="76">
        <v>46167</v>
      </c>
      <c r="B51" t="s">
        <v>216</v>
      </c>
      <c r="C51" s="77">
        <v>27715907</v>
      </c>
    </row>
    <row r="52" spans="1:3" x14ac:dyDescent="0.25">
      <c r="B52" t="s">
        <v>68</v>
      </c>
      <c r="C52" s="193">
        <f>+C50-C51</f>
        <v>218329249</v>
      </c>
    </row>
    <row r="53" spans="1:3" x14ac:dyDescent="0.25">
      <c r="A53" s="76">
        <v>46169</v>
      </c>
      <c r="B53" t="s">
        <v>216</v>
      </c>
      <c r="C53" s="77">
        <v>28888153</v>
      </c>
    </row>
    <row r="54" spans="1:3" x14ac:dyDescent="0.25">
      <c r="B54" t="s">
        <v>68</v>
      </c>
      <c r="C54" s="193">
        <f>+C52-C53</f>
        <v>189441096</v>
      </c>
    </row>
    <row r="55" spans="1:3" x14ac:dyDescent="0.25">
      <c r="A55" s="76">
        <v>46170</v>
      </c>
      <c r="B55" t="s">
        <v>216</v>
      </c>
      <c r="C55" s="77">
        <v>17930605</v>
      </c>
    </row>
    <row r="56" spans="1:3" x14ac:dyDescent="0.25">
      <c r="B56" t="s">
        <v>68</v>
      </c>
      <c r="C56" s="193">
        <f>+C54-C55</f>
        <v>171510491</v>
      </c>
    </row>
    <row r="57" spans="1:3" x14ac:dyDescent="0.25">
      <c r="A57" s="76">
        <v>46171</v>
      </c>
      <c r="B57" t="s">
        <v>64</v>
      </c>
      <c r="C57" s="77">
        <v>30049867</v>
      </c>
    </row>
    <row r="58" spans="1:3" x14ac:dyDescent="0.25">
      <c r="B58" t="s">
        <v>68</v>
      </c>
      <c r="C58" s="193">
        <f>+C56+C57</f>
        <v>201560358</v>
      </c>
    </row>
    <row r="59" spans="1:3" x14ac:dyDescent="0.25">
      <c r="A59" s="76">
        <v>46181</v>
      </c>
      <c r="B59" t="s">
        <v>64</v>
      </c>
      <c r="C59" s="77">
        <v>35704067</v>
      </c>
    </row>
    <row r="60" spans="1:3" x14ac:dyDescent="0.25">
      <c r="B60" t="s">
        <v>68</v>
      </c>
      <c r="C60" s="193">
        <f>+C58+C59</f>
        <v>237264425</v>
      </c>
    </row>
    <row r="61" spans="1:3" x14ac:dyDescent="0.25">
      <c r="A61" s="76">
        <v>46193</v>
      </c>
      <c r="B61" t="s">
        <v>216</v>
      </c>
      <c r="C61" s="77">
        <v>26492313</v>
      </c>
    </row>
    <row r="62" spans="1:3" x14ac:dyDescent="0.25">
      <c r="A62" s="76"/>
      <c r="B62" t="s">
        <v>68</v>
      </c>
      <c r="C62" s="193">
        <f>+C60-C61</f>
        <v>210772112</v>
      </c>
    </row>
    <row r="63" spans="1:3" x14ac:dyDescent="0.25">
      <c r="A63" s="76">
        <v>46197</v>
      </c>
      <c r="B63" t="s">
        <v>216</v>
      </c>
      <c r="C63" s="77">
        <v>19932369</v>
      </c>
    </row>
    <row r="64" spans="1:3" x14ac:dyDescent="0.25">
      <c r="B64" t="s">
        <v>68</v>
      </c>
      <c r="C64" s="193">
        <f>+C62-C63</f>
        <v>190839743</v>
      </c>
    </row>
    <row r="65" spans="1:3" x14ac:dyDescent="0.25">
      <c r="A65" s="76">
        <v>46210</v>
      </c>
      <c r="B65" t="s">
        <v>216</v>
      </c>
      <c r="C65" s="77">
        <v>10294341</v>
      </c>
    </row>
    <row r="66" spans="1:3" x14ac:dyDescent="0.25">
      <c r="B66" t="s">
        <v>68</v>
      </c>
      <c r="C66" s="193">
        <f>+C64-C65</f>
        <v>180545402</v>
      </c>
    </row>
    <row r="67" spans="1:3" x14ac:dyDescent="0.25">
      <c r="A67" s="76">
        <v>46217</v>
      </c>
      <c r="B67" t="s">
        <v>216</v>
      </c>
      <c r="C67" s="77">
        <v>659284</v>
      </c>
    </row>
    <row r="68" spans="1:3" x14ac:dyDescent="0.25">
      <c r="B68" t="s">
        <v>68</v>
      </c>
      <c r="C68" s="173">
        <f>+C66-C67</f>
        <v>179886118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6"/>
  <sheetViews>
    <sheetView workbookViewId="0">
      <selection sqref="A1:A16"/>
    </sheetView>
  </sheetViews>
  <sheetFormatPr baseColWidth="10" defaultColWidth="8.7109375" defaultRowHeight="15" x14ac:dyDescent="0.25"/>
  <cols>
    <col min="1" max="16384" width="8.7109375" style="1"/>
  </cols>
  <sheetData>
    <row r="1" spans="1:1" x14ac:dyDescent="0.25">
      <c r="A1" t="s">
        <v>6</v>
      </c>
    </row>
    <row r="2" spans="1:1" x14ac:dyDescent="0.25">
      <c r="A2" t="s">
        <v>7</v>
      </c>
    </row>
    <row r="3" spans="1:1" x14ac:dyDescent="0.25">
      <c r="A3" t="s">
        <v>8</v>
      </c>
    </row>
    <row r="4" spans="1:1" x14ac:dyDescent="0.25">
      <c r="A4" t="s">
        <v>9</v>
      </c>
    </row>
    <row r="5" spans="1:1" x14ac:dyDescent="0.25">
      <c r="A5" t="s">
        <v>10</v>
      </c>
    </row>
    <row r="6" spans="1:1" x14ac:dyDescent="0.25">
      <c r="A6" t="s">
        <v>11</v>
      </c>
    </row>
    <row r="7" spans="1:1" x14ac:dyDescent="0.25">
      <c r="A7" t="s">
        <v>12</v>
      </c>
    </row>
    <row r="8" spans="1:1" x14ac:dyDescent="0.25">
      <c r="A8" t="s">
        <v>13</v>
      </c>
    </row>
    <row r="9" spans="1:1" x14ac:dyDescent="0.25">
      <c r="A9" t="s">
        <v>14</v>
      </c>
    </row>
    <row r="10" spans="1:1" x14ac:dyDescent="0.25">
      <c r="A10" t="s">
        <v>15</v>
      </c>
    </row>
    <row r="11" spans="1:1" x14ac:dyDescent="0.25">
      <c r="A11" t="s">
        <v>16</v>
      </c>
    </row>
    <row r="12" spans="1:1" x14ac:dyDescent="0.25">
      <c r="A12" s="1" t="s">
        <v>17</v>
      </c>
    </row>
    <row r="13" spans="1:1" x14ac:dyDescent="0.25">
      <c r="A13" s="1" t="s">
        <v>18</v>
      </c>
    </row>
    <row r="14" spans="1:1" x14ac:dyDescent="0.25">
      <c r="A14" s="1" t="s">
        <v>19</v>
      </c>
    </row>
    <row r="15" spans="1:1" x14ac:dyDescent="0.25">
      <c r="A15" s="1" t="s">
        <v>20</v>
      </c>
    </row>
    <row r="16" spans="1:1" x14ac:dyDescent="0.25">
      <c r="A16" s="1"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7-MARZO</vt:lpstr>
      <vt:lpstr>14-ABRIL</vt:lpstr>
      <vt:lpstr>10-MAYO</vt:lpstr>
      <vt:lpstr>26-MAYO</vt:lpstr>
      <vt:lpstr>12-JUNIO</vt:lpstr>
      <vt:lpstr>12-JULIO</vt:lpstr>
      <vt:lpstr>05-AGOSTO</vt:lpstr>
      <vt:lpstr>06-SEPTIEMBRE</vt:lpstr>
      <vt:lpstr>20- SEPTIEMBRE</vt:lpstr>
      <vt:lpstr>04-OCTUBRE</vt:lpstr>
      <vt:lpstr>09-NOVIEMBRE</vt:lpstr>
      <vt:lpstr>13-NOVIEMBRE</vt:lpstr>
      <vt:lpstr>16-DICIEMBRE</vt:lpstr>
      <vt:lpstr>07-ENERO</vt:lpstr>
      <vt:lpstr>09-ENERO</vt:lpstr>
      <vt:lpstr>25-ENERO</vt:lpstr>
      <vt:lpstr>26-ENERO</vt:lpstr>
      <vt:lpstr>07-FEBRERO</vt:lpstr>
      <vt:lpstr>19-FEBRERO</vt:lpstr>
      <vt:lpstr>17-MAYO</vt:lpstr>
      <vt:lpstr>18-MAYO</vt:lpstr>
      <vt:lpstr>19-MAYO</vt:lpstr>
      <vt:lpstr>25-MAYO</vt:lpstr>
      <vt:lpstr>27-MAYO</vt:lpstr>
      <vt:lpstr>28-MAYO</vt:lpstr>
      <vt:lpstr>29-MAYO</vt:lpstr>
      <vt:lpstr>08-JUNIO</vt:lpstr>
      <vt:lpstr>20-JUNIO</vt:lpstr>
      <vt:lpstr>24-JUNIO</vt:lpstr>
      <vt:lpstr>07-JULIO</vt:lpstr>
      <vt:lpstr>14-JULIO</vt:lpstr>
      <vt:lpstr>LETRAS</vt:lpstr>
      <vt:lpstr>NORMA</vt:lpstr>
      <vt:lpstr>SIMULADOR</vt:lpstr>
      <vt:lpstr>APORTES</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Natalia Vargas Valderrama</dc:creator>
  <cp:lastModifiedBy>GranPc</cp:lastModifiedBy>
  <dcterms:created xsi:type="dcterms:W3CDTF">2024-10-29T21:13:31Z</dcterms:created>
  <dcterms:modified xsi:type="dcterms:W3CDTF">2026-07-15T00:03:34Z</dcterms:modified>
</cp:coreProperties>
</file>